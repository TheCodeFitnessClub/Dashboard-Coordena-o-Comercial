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4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Dashboard" sheetId="1" state="visible" r:id="rId3"/>
    <sheet name="01_Inputs_Diarios" sheetId="2" state="visible" r:id="rId4"/>
    <sheet name="02_Leads_Closum" sheetId="3" state="visible" r:id="rId5"/>
    <sheet name="03_Visitas_DiaSeguinte" sheetId="4" state="visible" r:id="rId6"/>
    <sheet name="04_Comerciais" sheetId="5" state="visible" r:id="rId7"/>
    <sheet name="05_KPIs_Mensais" sheetId="6" state="visible" r:id="rId8"/>
    <sheet name="06_Reunioes_Diarias" sheetId="7" state="visible" r:id="rId9"/>
    <sheet name="07_Reunioes_Semanais" sheetId="8" state="visible" r:id="rId10"/>
    <sheet name="08_Reunioes_Mensais" sheetId="9" state="visible" r:id="rId11"/>
    <sheet name="09_Onboarding_30d" sheetId="10" state="visible" r:id="rId12"/>
    <sheet name="10_Devedores" sheetId="11" state="visible" r:id="rId13"/>
    <sheet name="11_Cancelamentos" sheetId="12" state="visible" r:id="rId14"/>
    <sheet name="12_Suspensoes" sheetId="13" state="visible" r:id="rId15"/>
    <sheet name="13_Metas" sheetId="14" state="visible" r:id="rId16"/>
    <sheet name="14_Equipa" sheetId="15" state="visible" r:id="rId17"/>
    <sheet name="99_LeiaMe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4.xml><?xml version="1.0" encoding="utf-8"?>
<comments xmlns="http://schemas.openxmlformats.org/spreadsheetml/2006/main" xmlns:xdr="http://schemas.openxmlformats.org/drawingml/2006/spreadsheetDrawing">
  <authors>
    <author>TC</author>
  </authors>
  <commentList>
    <comment ref="E3" authorId="0">
      <text>
        <r>
          <rPr>
            <sz val="10"/>
            <rFont val="Arial"/>
            <family val="2"/>
          </rPr>
          <t xml:space="preserve">Manual: primeiro contacto até 1h</t>
        </r>
      </text>
    </comment>
  </commentList>
</comments>
</file>

<file path=xl/sharedStrings.xml><?xml version="1.0" encoding="utf-8"?>
<sst xmlns="http://schemas.openxmlformats.org/spreadsheetml/2006/main" count="256" uniqueCount="190">
  <si>
    <t xml:space="preserve">THE CODE — DASHBOARD COORDENAÇÃO</t>
  </si>
  <si>
    <t xml:space="preserve">Última construção: 07/05/2026  ·  Atualiza automaticamente ao reabrir o ficheiro</t>
  </si>
  <si>
    <t xml:space="preserve">TEMPO MÉDIO RESP.</t>
  </si>
  <si>
    <t xml:space="preserve">% CHAMADAS ATEND.</t>
  </si>
  <si>
    <t xml:space="preserve">% WALK-IN SALE</t>
  </si>
  <si>
    <t xml:space="preserve">% CONVERSÃO VISITA</t>
  </si>
  <si>
    <t xml:space="preserve">Closum → 1º contacto</t>
  </si>
  <si>
    <t xml:space="preserve">Atendidas / efetuadas</t>
  </si>
  <si>
    <t xml:space="preserve">Sale / Walk-in</t>
  </si>
  <si>
    <t xml:space="preserve">Conversões / visitas</t>
  </si>
  <si>
    <t xml:space="preserve">LEADS RECEBIDAS</t>
  </si>
  <si>
    <t xml:space="preserve">VISITAS REALIZADAS</t>
  </si>
  <si>
    <t xml:space="preserve">CONVERSÕES</t>
  </si>
  <si>
    <t xml:space="preserve">LEADS SLA VIOLADO</t>
  </si>
  <si>
    <t xml:space="preserve">Período acumulado</t>
  </si>
  <si>
    <t xml:space="preserve">Vendas registadas</t>
  </si>
  <si>
    <t xml:space="preserve">Acima de 60 min</t>
  </si>
  <si>
    <t xml:space="preserve">PERFORMANCE POR COMERCIAL</t>
  </si>
  <si>
    <t xml:space="preserve">Comercial</t>
  </si>
  <si>
    <t xml:space="preserve">Unidade</t>
  </si>
  <si>
    <t xml:space="preserve">Cham. ef.</t>
  </si>
  <si>
    <t xml:space="preserve">Cham. at.</t>
  </si>
  <si>
    <t xml:space="preserve">% At.</t>
  </si>
  <si>
    <t xml:space="preserve">WI</t>
  </si>
  <si>
    <t xml:space="preserve">WI Sale</t>
  </si>
  <si>
    <t xml:space="preserve">% WI</t>
  </si>
  <si>
    <t xml:space="preserve">Leads</t>
  </si>
  <si>
    <t xml:space="preserve">T.médio (min)</t>
  </si>
  <si>
    <t xml:space="preserve">Visitas</t>
  </si>
  <si>
    <t xml:space="preserve">% Conv.</t>
  </si>
  <si>
    <t xml:space="preserve">VISITAS DO DIA SEGUINTE — vista rápida</t>
  </si>
  <si>
    <t xml:space="preserve">ALERTAS</t>
  </si>
  <si>
    <t xml:space="preserve">Data</t>
  </si>
  <si>
    <t xml:space="preserve">Hora</t>
  </si>
  <si>
    <t xml:space="preserve">Cliente</t>
  </si>
  <si>
    <t xml:space="preserve">Plano</t>
  </si>
  <si>
    <t xml:space="preserve">Estado</t>
  </si>
  <si>
    <t xml:space="preserve">KPI</t>
  </si>
  <si>
    <t xml:space="preserve">Valor</t>
  </si>
  <si>
    <t xml:space="preserve">Meta</t>
  </si>
  <si>
    <t xml:space="preserve">Status</t>
  </si>
  <si>
    <t xml:space="preserve">Ação</t>
  </si>
  <si>
    <t xml:space="preserve">Tempo resp. médio</t>
  </si>
  <si>
    <t xml:space="preserve">% Chamadas atendidas</t>
  </si>
  <si>
    <t xml:space="preserve">% Walk-in sale</t>
  </si>
  <si>
    <t xml:space="preserve">% Conversão visita</t>
  </si>
  <si>
    <t xml:space="preserve">Leads SLA violado</t>
  </si>
  <si>
    <t xml:space="preserve">INPUTS DIÁRIOS — Lançamento manual ou import CSV</t>
  </si>
  <si>
    <t xml:space="preserve">Chamadas efetuadas</t>
  </si>
  <si>
    <t xml:space="preserve">Chamadas atendidas</t>
  </si>
  <si>
    <t xml:space="preserve">Walk-in</t>
  </si>
  <si>
    <t xml:space="preserve">Walk-in sale</t>
  </si>
  <si>
    <t xml:space="preserve">Contactos angariados</t>
  </si>
  <si>
    <t xml:space="preserve">Leads recebidas</t>
  </si>
  <si>
    <t xml:space="preserve">Marcações</t>
  </si>
  <si>
    <t xml:space="preserve">Conversões</t>
  </si>
  <si>
    <t xml:space="preserve">Notas</t>
  </si>
  <si>
    <t xml:space="preserve">LEADS CLOSUM — Tempo de resposta automatizado (SLA: 1h)</t>
  </si>
  <si>
    <t xml:space="preserve">Lead ID</t>
  </si>
  <si>
    <t xml:space="preserve">Nome</t>
  </si>
  <si>
    <t xml:space="preserve">Telefone</t>
  </si>
  <si>
    <t xml:space="preserve">Origem</t>
  </si>
  <si>
    <t xml:space="preserve">Entrada Closum (data/hora)</t>
  </si>
  <si>
    <t xml:space="preserve">Primeiro contacto (data/hora)</t>
  </si>
  <si>
    <t xml:space="preserve">Canal</t>
  </si>
  <si>
    <t xml:space="preserve">Tempo resposta (min)</t>
  </si>
  <si>
    <t xml:space="preserve">SLA (≤60 min)</t>
  </si>
  <si>
    <t xml:space="preserve">Resultado</t>
  </si>
  <si>
    <t xml:space="preserve">VISITAS DO DIA SEGUINTE — Submissão dos comerciais</t>
  </si>
  <si>
    <t xml:space="preserve">Data visita</t>
  </si>
  <si>
    <t xml:space="preserve">Origem lead</t>
  </si>
  <si>
    <t xml:space="preserve">Plano de interesse</t>
  </si>
  <si>
    <t xml:space="preserve">PERFORMANCE COMERCIAIS — Cálculo automático</t>
  </si>
  <si>
    <t xml:space="preserve">Chamadas ef.</t>
  </si>
  <si>
    <t xml:space="preserve">Chamadas at.</t>
  </si>
  <si>
    <t xml:space="preserve">% Atendidas</t>
  </si>
  <si>
    <t xml:space="preserve">% WI Sale</t>
  </si>
  <si>
    <t xml:space="preserve">Tempo médio resp. (min)</t>
  </si>
  <si>
    <t xml:space="preserve">% Conversão</t>
  </si>
  <si>
    <t xml:space="preserve">TOTAL</t>
  </si>
  <si>
    <t xml:space="preserve">—</t>
  </si>
  <si>
    <t xml:space="preserve">KPIs MENSAIS — Histórico (preenchimento manual no fecho de mês)</t>
  </si>
  <si>
    <t xml:space="preserve">Mês</t>
  </si>
  <si>
    <t xml:space="preserve">Real</t>
  </si>
  <si>
    <t xml:space="preserve">Desvio</t>
  </si>
  <si>
    <t xml:space="preserve">Tendência</t>
  </si>
  <si>
    <t xml:space="preserve">Plano de ação</t>
  </si>
  <si>
    <t xml:space="preserve">REUNIÕES DIÁRIAS — Log (10–15 min, foco execução)</t>
  </si>
  <si>
    <t xml:space="preserve">Performance dia anterior</t>
  </si>
  <si>
    <t xml:space="preserve">Riscos da operação</t>
  </si>
  <si>
    <t xml:space="preserve">3 Prioridades do dia</t>
  </si>
  <si>
    <t xml:space="preserve">Ações sobre prioridades</t>
  </si>
  <si>
    <t xml:space="preserve">Bloqueios</t>
  </si>
  <si>
    <t xml:space="preserve">Output definido</t>
  </si>
  <si>
    <t xml:space="preserve">REUNIÕES SEMANAIS — Correção de execução</t>
  </si>
  <si>
    <t xml:space="preserve">Semana (dd/mm)</t>
  </si>
  <si>
    <t xml:space="preserve">KPIs Real vs Meta</t>
  </si>
  <si>
    <t xml:space="preserve">Tendência vs sem. ant.</t>
  </si>
  <si>
    <t xml:space="preserve">Pipeline status</t>
  </si>
  <si>
    <t xml:space="preserve">Desvios</t>
  </si>
  <si>
    <t xml:space="preserve">Plano de correção</t>
  </si>
  <si>
    <t xml:space="preserve">Ações atribuídas</t>
  </si>
  <si>
    <t xml:space="preserve">Responsável | Prazo</t>
  </si>
  <si>
    <t xml:space="preserve">REUNIÕES MENSAIS — Sustentabilidade do modelo</t>
  </si>
  <si>
    <t xml:space="preserve">Performance global</t>
  </si>
  <si>
    <t xml:space="preserve">Tendências</t>
  </si>
  <si>
    <t xml:space="preserve">Avaliação equipa</t>
  </si>
  <si>
    <t xml:space="preserve">Decisões registadas</t>
  </si>
  <si>
    <t xml:space="preserve">Ajustes operacionais</t>
  </si>
  <si>
    <t xml:space="preserve">Plano mês seguinte</t>
  </si>
  <si>
    <t xml:space="preserve">ONBOARDING — Pós-venda 24h / 7d / 30d</t>
  </si>
  <si>
    <t xml:space="preserve">Data adesão</t>
  </si>
  <si>
    <t xml:space="preserve">Contacto 24h</t>
  </si>
  <si>
    <t xml:space="preserve">Visita 7d</t>
  </si>
  <si>
    <t xml:space="preserve">Avaliação 30d</t>
  </si>
  <si>
    <t xml:space="preserve">Estado 30d</t>
  </si>
  <si>
    <t xml:space="preserve">Risco?</t>
  </si>
  <si>
    <t xml:space="preserve">DEVEDORES — Listagem e follow-up</t>
  </si>
  <si>
    <t xml:space="preserve">Valor em atraso (€)</t>
  </si>
  <si>
    <t xml:space="preserve">Dias atraso</t>
  </si>
  <si>
    <t xml:space="preserve">Última tentativa</t>
  </si>
  <si>
    <t xml:space="preserve">Próxima ação</t>
  </si>
  <si>
    <t xml:space="preserve">Responsável</t>
  </si>
  <si>
    <t xml:space="preserve">CANCELAMENTOS — Registo (28 dias aviso prévio)</t>
  </si>
  <si>
    <t xml:space="preserve">Data pedido</t>
  </si>
  <si>
    <t xml:space="preserve">Motivo</t>
  </si>
  <si>
    <t xml:space="preserve">Tentativa retenção?</t>
  </si>
  <si>
    <t xml:space="preserve">Dívida verificada?</t>
  </si>
  <si>
    <t xml:space="preserve">Data efetivo</t>
  </si>
  <si>
    <t xml:space="preserve">SUSPENSÕES — 28 dias/ano gratuitos · 5€/14d excedente · 14d antecedência</t>
  </si>
  <si>
    <t xml:space="preserve">Início</t>
  </si>
  <si>
    <t xml:space="preserve">Fim</t>
  </si>
  <si>
    <t xml:space="preserve">Dias</t>
  </si>
  <si>
    <t xml:space="preserve">Cobrança (€)</t>
  </si>
  <si>
    <t xml:space="preserve">METAS — KPIs de referência (editar conforme direção definir)</t>
  </si>
  <si>
    <t xml:space="preserve">Meta mínima</t>
  </si>
  <si>
    <t xml:space="preserve">Meta standard</t>
  </si>
  <si>
    <t xml:space="preserve">Meta excelência</t>
  </si>
  <si>
    <t xml:space="preserve">Tempo médio contacto a lead nova (min)</t>
  </si>
  <si>
    <t xml:space="preserve">SLA manual: 1h</t>
  </si>
  <si>
    <t xml:space="preserve">30%</t>
  </si>
  <si>
    <t xml:space="preserve">40%</t>
  </si>
  <si>
    <t xml:space="preserve">55%</t>
  </si>
  <si>
    <t xml:space="preserve">Atendidas / Efetuadas</t>
  </si>
  <si>
    <t xml:space="preserve">20%</t>
  </si>
  <si>
    <t xml:space="preserve">45%</t>
  </si>
  <si>
    <t xml:space="preserve">Walk-in sale / Walk-in</t>
  </si>
  <si>
    <t xml:space="preserve">% Contactos angariados</t>
  </si>
  <si>
    <t xml:space="preserve">Definir base de cálculo</t>
  </si>
  <si>
    <t xml:space="preserve">% Leads recebidas (qualificadas)</t>
  </si>
  <si>
    <t xml:space="preserve">Definir base</t>
  </si>
  <si>
    <t xml:space="preserve">% Contactos / marcações</t>
  </si>
  <si>
    <t xml:space="preserve">25%</t>
  </si>
  <si>
    <t xml:space="preserve">35%</t>
  </si>
  <si>
    <t xml:space="preserve">50%</t>
  </si>
  <si>
    <t xml:space="preserve">Marcações / Contactos efetivos</t>
  </si>
  <si>
    <t xml:space="preserve">% Marcações / visitas</t>
  </si>
  <si>
    <t xml:space="preserve">60%</t>
  </si>
  <si>
    <t xml:space="preserve">75%</t>
  </si>
  <si>
    <t xml:space="preserve">90%</t>
  </si>
  <si>
    <t xml:space="preserve">Visitas / Marcações</t>
  </si>
  <si>
    <t xml:space="preserve">% Visitas / conversão</t>
  </si>
  <si>
    <t xml:space="preserve">Vendas / Visitas</t>
  </si>
  <si>
    <t xml:space="preserve">EQUIPA — Configuração</t>
  </si>
  <si>
    <t xml:space="preserve">Email</t>
  </si>
  <si>
    <t xml:space="preserve">Data início</t>
  </si>
  <si>
    <t xml:space="preserve">Cidade Universitária</t>
  </si>
  <si>
    <t xml:space="preserve">[Nome do comercial CU]</t>
  </si>
  <si>
    <t xml:space="preserve">Ativo</t>
  </si>
  <si>
    <t xml:space="preserve">Saldanha</t>
  </si>
  <si>
    <t xml:space="preserve">[Nome do comercial SD]</t>
  </si>
  <si>
    <t xml:space="preserve">Universidade Nova</t>
  </si>
  <si>
    <t xml:space="preserve">[Nome do comercial UN]</t>
  </si>
  <si>
    <t xml:space="preserve">LEIA-ME — Como usar o workbook</t>
  </si>
  <si>
    <t xml:space="preserve">Estrutura</t>
  </si>
  <si>
    <t xml:space="preserve">Abas numeradas. 00 é o Dashboard (resumo). 01–04 são dados. 05–08 são reuniões. 09–12 são gestão de clientes. 13–14 são configuração.</t>
  </si>
  <si>
    <t xml:space="preserve">Onde lançar dados</t>
  </si>
  <si>
    <t xml:space="preserve">01_Inputs_Diarios para chamadas, walk-ins, contactos, marcações, visitas e conversões. 02_Leads_Closum para o funil de leads (idealmente alimentado pelo script de automação). 03_Visitas_DiaSeguinte para os comerciais submeterem.</t>
  </si>
  <si>
    <t xml:space="preserve">Cálculos automáticos</t>
  </si>
  <si>
    <t xml:space="preserve">Tempo de resposta a leads (col I de 02), SLA (col J), % atendidas, % WI sale, % conversão (em 04 e Dashboard). Onboarding marca risco quando algum checkpoint falha.</t>
  </si>
  <si>
    <t xml:space="preserve">Metas</t>
  </si>
  <si>
    <t xml:space="preserve">Editar 13_Metas. Os semáforos do Dashboard reagem a estas células — não modificar fórmulas.</t>
  </si>
  <si>
    <t xml:space="preserve">Equipa</t>
  </si>
  <si>
    <t xml:space="preserve">Editar 14_Equipa para adicionar/alterar comerciais. Todos os dropdowns puxam daqui.</t>
  </si>
  <si>
    <t xml:space="preserve">Automação Closum</t>
  </si>
  <si>
    <t xml:space="preserve">Correr closum_processor.py com o CSV do Closum. O script preenche 02_Leads_Closum e marca SLA violado. Ver LEIA-ME.md no folder.</t>
  </si>
  <si>
    <t xml:space="preserve">Reuniões</t>
  </si>
  <si>
    <t xml:space="preserve">06 (diário) — preencher curto, foco execução. 07 (semanal) — fechar com plano de correção. 08 (mensal) — relatório global.</t>
  </si>
  <si>
    <t xml:space="preserve">Disciplina dos rituais</t>
  </si>
  <si>
    <t xml:space="preserve">Manual: nenhuma reunião sem dados preparados; nenhuma reunião termina sem output; nenhum KPI sem comparação temporal; nenhum desvio sem plano de ação.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</si>
</sst>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&quot; min&quot;"/>
    <numFmt numFmtId="166" formatCode="0.0%"/>
    <numFmt numFmtId="167" formatCode="0"/>
    <numFmt numFmtId="168" formatCode="dd/mm"/>
    <numFmt numFmtId="169" formatCode="hh:mm"/>
    <numFmt numFmtId="170" formatCode="dd/mm/yyyy"/>
    <numFmt numFmtId="171" formatCode="dd/mm/yyyy\ hh:mm"/>
    <numFmt numFmtId="172" formatCode="\€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6"/>
      <color rgb="FF1F1F1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22"/>
      <color rgb="FF1F1F1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name val="Arial"/>
      <family val="2"/>
    </font>
    <font>
      <b val="true"/>
      <sz val="12"/>
      <color rgb="FFC0492B"/>
      <name val="Arial"/>
      <family val="0"/>
      <charset val="1"/>
    </font>
    <font>
      <sz val="11"/>
      <color rgb="FF1F1F1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C0492B"/>
        <bgColor rgb="FFC62828"/>
      </patternFill>
    </fill>
    <fill>
      <patternFill patternType="solid">
        <fgColor rgb="FFF2F2F2"/>
        <bgColor rgb="FFFFFFFF"/>
      </patternFill>
    </fill>
    <fill>
      <patternFill patternType="solid">
        <fgColor rgb="FF595959"/>
        <bgColor rgb="FF2E7D32"/>
      </patternFill>
    </fill>
    <fill>
      <patternFill patternType="solid">
        <fgColor rgb="FFFFFFFF"/>
        <bgColor rgb="FFF2F2F2"/>
      </patternFill>
    </fill>
    <fill>
      <patternFill patternType="solid">
        <fgColor rgb="FFC62828"/>
        <bgColor rgb="FFC0492B"/>
      </patternFill>
    </fill>
    <fill>
      <patternFill patternType="solid">
        <fgColor rgb="FFF4D7CC"/>
        <bgColor rgb="FFF8D7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2E7D32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F9A825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C62828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2E7D32"/>
        <sz val="10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C62828"/>
        <sz val="10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F9A825"/>
        <sz val="10"/>
      </font>
      <fill>
        <patternFill>
          <bgColor rgb="FFFFF3CD"/>
        </patternFill>
      </fill>
    </dxf>
    <dxf>
      <font>
        <name val="Arial"/>
        <charset val="1"/>
        <family val="0"/>
        <color rgb="FFC62828"/>
      </font>
      <fill>
        <patternFill>
          <bgColor rgb="FFF8D7DA"/>
        </patternFill>
      </fill>
    </dxf>
    <dxf>
      <font>
        <name val="Arial"/>
        <charset val="1"/>
        <family val="0"/>
        <color rgb="FF2E7D32"/>
      </font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492B"/>
      <rgbColor rgb="FFFFF3CD"/>
      <rgbColor rgb="FFF2F2F2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4D7CC"/>
      <rgbColor rgb="FF3366FF"/>
      <rgbColor rgb="FF33CCCC"/>
      <rgbColor rgb="FF99CC00"/>
      <rgbColor rgb="FFFFCC00"/>
      <rgbColor rgb="FFF9A825"/>
      <rgbColor rgb="FFFF6600"/>
      <rgbColor rgb="FF59595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28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4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</row>
    <row r="5" customFormat="false" ht="30" hidden="false" customHeight="true" outlineLevel="0" collapsed="false">
      <c r="A5" s="4" t="n">
        <f aca="false">'04_Comerciais'!J6</f>
        <v>0</v>
      </c>
      <c r="B5" s="4"/>
      <c r="C5" s="4"/>
      <c r="D5" s="5" t="n">
        <f aca="false">'04_Comerciais'!E6</f>
        <v>0</v>
      </c>
      <c r="E5" s="5"/>
      <c r="F5" s="5"/>
      <c r="G5" s="5" t="n">
        <f aca="false">'04_Comerciais'!H6</f>
        <v>0</v>
      </c>
      <c r="H5" s="5"/>
      <c r="I5" s="5"/>
      <c r="J5" s="5" t="n">
        <f aca="false">'04_Comerciais'!N6</f>
        <v>0</v>
      </c>
      <c r="K5" s="5"/>
      <c r="L5" s="5"/>
    </row>
    <row r="6" customFormat="false" ht="30" hidden="false" customHeight="true" outlineLevel="0" collapsed="false">
      <c r="A6" s="4"/>
      <c r="B6" s="4"/>
      <c r="C6" s="4"/>
      <c r="D6" s="5"/>
      <c r="E6" s="5"/>
      <c r="F6" s="5"/>
      <c r="G6" s="5"/>
      <c r="H6" s="5"/>
      <c r="I6" s="5"/>
      <c r="J6" s="5"/>
      <c r="K6" s="5"/>
      <c r="L6" s="5"/>
    </row>
    <row r="7" customFormat="false" ht="18" hidden="false" customHeight="true" outlineLevel="0" collapsed="false">
      <c r="A7" s="6" t="s">
        <v>6</v>
      </c>
      <c r="B7" s="6"/>
      <c r="C7" s="6"/>
      <c r="D7" s="6" t="s">
        <v>7</v>
      </c>
      <c r="E7" s="6"/>
      <c r="F7" s="6"/>
      <c r="G7" s="6" t="s">
        <v>8</v>
      </c>
      <c r="H7" s="6"/>
      <c r="I7" s="6"/>
      <c r="J7" s="6" t="s">
        <v>9</v>
      </c>
      <c r="K7" s="6"/>
      <c r="L7" s="6"/>
    </row>
    <row r="9" customFormat="false" ht="21.75" hidden="false" customHeight="true" outlineLevel="0" collapsed="false">
      <c r="A9" s="7" t="s">
        <v>10</v>
      </c>
      <c r="B9" s="7"/>
      <c r="C9" s="7"/>
      <c r="D9" s="7" t="s">
        <v>11</v>
      </c>
      <c r="E9" s="7"/>
      <c r="F9" s="7"/>
      <c r="G9" s="7" t="s">
        <v>12</v>
      </c>
      <c r="H9" s="7"/>
      <c r="I9" s="7"/>
      <c r="J9" s="7" t="s">
        <v>13</v>
      </c>
      <c r="K9" s="7"/>
      <c r="L9" s="7"/>
    </row>
    <row r="10" customFormat="false" ht="24" hidden="false" customHeight="true" outlineLevel="0" collapsed="false">
      <c r="A10" s="8" t="n">
        <f aca="false">'04_Comerciais'!I6</f>
        <v>0</v>
      </c>
      <c r="B10" s="8"/>
      <c r="C10" s="8"/>
      <c r="D10" s="8" t="n">
        <f aca="false">'04_Comerciais'!L6</f>
        <v>0</v>
      </c>
      <c r="E10" s="8"/>
      <c r="F10" s="8"/>
      <c r="G10" s="8" t="n">
        <f aca="false">'04_Comerciais'!M6</f>
        <v>0</v>
      </c>
      <c r="H10" s="8"/>
      <c r="I10" s="8"/>
      <c r="J10" s="8" t="n">
        <f aca="false">COUNTIF('02_Leads_Closum'!$J$3:$J$502,"VIOLADO")</f>
        <v>0</v>
      </c>
      <c r="K10" s="8"/>
      <c r="L10" s="8"/>
    </row>
    <row r="11" customFormat="false" ht="24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customFormat="false" ht="15" hidden="false" customHeight="false" outlineLevel="0" collapsed="false">
      <c r="A12" s="9" t="s">
        <v>14</v>
      </c>
      <c r="B12" s="9"/>
      <c r="C12" s="9"/>
      <c r="D12" s="9" t="s">
        <v>14</v>
      </c>
      <c r="E12" s="9"/>
      <c r="F12" s="9"/>
      <c r="G12" s="9" t="s">
        <v>15</v>
      </c>
      <c r="H12" s="9"/>
      <c r="I12" s="9"/>
      <c r="J12" s="9" t="s">
        <v>16</v>
      </c>
      <c r="K12" s="9"/>
      <c r="L12" s="9"/>
    </row>
    <row r="14" customFormat="false" ht="25.5" hidden="false" customHeight="true" outlineLevel="0" collapsed="false">
      <c r="A14" s="10" t="s">
        <v>17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27.75" hidden="false" customHeight="true" outlineLevel="0" collapsed="false">
      <c r="A15" s="11" t="s">
        <v>18</v>
      </c>
      <c r="B15" s="11" t="s">
        <v>19</v>
      </c>
      <c r="C15" s="11" t="s">
        <v>20</v>
      </c>
      <c r="D15" s="11" t="s">
        <v>21</v>
      </c>
      <c r="E15" s="11" t="s">
        <v>22</v>
      </c>
      <c r="F15" s="11" t="s">
        <v>23</v>
      </c>
      <c r="G15" s="11" t="s">
        <v>24</v>
      </c>
      <c r="H15" s="11" t="s">
        <v>25</v>
      </c>
      <c r="I15" s="11" t="s">
        <v>26</v>
      </c>
      <c r="J15" s="11" t="s">
        <v>27</v>
      </c>
      <c r="K15" s="11" t="s">
        <v>28</v>
      </c>
      <c r="L15" s="11" t="s">
        <v>29</v>
      </c>
    </row>
    <row r="16" customFormat="false" ht="23.85" hidden="false" customHeight="false" outlineLevel="0" collapsed="false">
      <c r="A16" s="12" t="str">
        <f aca="false">'04_Comerciais'!A3</f>
        <v>[Nome do comercial CU]</v>
      </c>
      <c r="B16" s="12" t="str">
        <f aca="false">'04_Comerciais'!B3</f>
        <v>Cidade Universitária</v>
      </c>
      <c r="C16" s="13" t="n">
        <f aca="false">'04_Comerciais'!C3</f>
        <v>0</v>
      </c>
      <c r="D16" s="13" t="n">
        <f aca="false">'04_Comerciais'!D3</f>
        <v>0</v>
      </c>
      <c r="E16" s="14" t="n">
        <f aca="false">'04_Comerciais'!E3</f>
        <v>0</v>
      </c>
      <c r="F16" s="13" t="n">
        <f aca="false">'04_Comerciais'!F3</f>
        <v>0</v>
      </c>
      <c r="G16" s="13" t="n">
        <f aca="false">'04_Comerciais'!G3</f>
        <v>0</v>
      </c>
      <c r="H16" s="14" t="n">
        <f aca="false">'04_Comerciais'!H3</f>
        <v>0</v>
      </c>
      <c r="I16" s="13" t="n">
        <f aca="false">'04_Comerciais'!I3</f>
        <v>0</v>
      </c>
      <c r="J16" s="15" t="n">
        <f aca="false">'04_Comerciais'!J3</f>
        <v>0</v>
      </c>
      <c r="K16" s="13" t="n">
        <f aca="false">'04_Comerciais'!L3</f>
        <v>0</v>
      </c>
      <c r="L16" s="14" t="n">
        <f aca="false">'04_Comerciais'!N3</f>
        <v>0</v>
      </c>
    </row>
    <row r="17" customFormat="false" ht="23.85" hidden="false" customHeight="false" outlineLevel="0" collapsed="false">
      <c r="A17" s="12" t="str">
        <f aca="false">'04_Comerciais'!A4</f>
        <v>[Nome do comercial SD]</v>
      </c>
      <c r="B17" s="12" t="str">
        <f aca="false">'04_Comerciais'!B4</f>
        <v>Saldanha</v>
      </c>
      <c r="C17" s="13" t="n">
        <f aca="false">'04_Comerciais'!C4</f>
        <v>0</v>
      </c>
      <c r="D17" s="13" t="n">
        <f aca="false">'04_Comerciais'!D4</f>
        <v>0</v>
      </c>
      <c r="E17" s="14" t="n">
        <f aca="false">'04_Comerciais'!E4</f>
        <v>0</v>
      </c>
      <c r="F17" s="13" t="n">
        <f aca="false">'04_Comerciais'!F4</f>
        <v>0</v>
      </c>
      <c r="G17" s="13" t="n">
        <f aca="false">'04_Comerciais'!G4</f>
        <v>0</v>
      </c>
      <c r="H17" s="14" t="n">
        <f aca="false">'04_Comerciais'!H4</f>
        <v>0</v>
      </c>
      <c r="I17" s="13" t="n">
        <f aca="false">'04_Comerciais'!I4</f>
        <v>0</v>
      </c>
      <c r="J17" s="15" t="n">
        <f aca="false">'04_Comerciais'!J4</f>
        <v>0</v>
      </c>
      <c r="K17" s="13" t="n">
        <f aca="false">'04_Comerciais'!L4</f>
        <v>0</v>
      </c>
      <c r="L17" s="14" t="n">
        <f aca="false">'04_Comerciais'!N4</f>
        <v>0</v>
      </c>
    </row>
    <row r="18" customFormat="false" ht="23.85" hidden="false" customHeight="false" outlineLevel="0" collapsed="false">
      <c r="A18" s="12" t="str">
        <f aca="false">'04_Comerciais'!A5</f>
        <v>[Nome do comercial UN]</v>
      </c>
      <c r="B18" s="12" t="str">
        <f aca="false">'04_Comerciais'!B5</f>
        <v>Universidade Nova</v>
      </c>
      <c r="C18" s="13" t="n">
        <f aca="false">'04_Comerciais'!C5</f>
        <v>0</v>
      </c>
      <c r="D18" s="13" t="n">
        <f aca="false">'04_Comerciais'!D5</f>
        <v>0</v>
      </c>
      <c r="E18" s="14" t="n">
        <f aca="false">'04_Comerciais'!E5</f>
        <v>0</v>
      </c>
      <c r="F18" s="13" t="n">
        <f aca="false">'04_Comerciais'!F5</f>
        <v>0</v>
      </c>
      <c r="G18" s="13" t="n">
        <f aca="false">'04_Comerciais'!G5</f>
        <v>0</v>
      </c>
      <c r="H18" s="14" t="n">
        <f aca="false">'04_Comerciais'!H5</f>
        <v>0</v>
      </c>
      <c r="I18" s="13" t="n">
        <f aca="false">'04_Comerciais'!I5</f>
        <v>0</v>
      </c>
      <c r="J18" s="15" t="n">
        <f aca="false">'04_Comerciais'!J5</f>
        <v>0</v>
      </c>
      <c r="K18" s="13" t="n">
        <f aca="false">'04_Comerciais'!L5</f>
        <v>0</v>
      </c>
      <c r="L18" s="14" t="n">
        <f aca="false">'04_Comerciais'!N5</f>
        <v>0</v>
      </c>
    </row>
    <row r="21" customFormat="false" ht="25.5" hidden="false" customHeight="true" outlineLevel="0" collapsed="false">
      <c r="A21" s="10" t="s">
        <v>30</v>
      </c>
      <c r="B21" s="10"/>
      <c r="C21" s="10"/>
      <c r="D21" s="10"/>
      <c r="E21" s="10"/>
      <c r="F21" s="10"/>
      <c r="G21" s="10"/>
      <c r="H21" s="16" t="s">
        <v>31</v>
      </c>
      <c r="I21" s="16"/>
      <c r="J21" s="16"/>
      <c r="K21" s="16"/>
      <c r="L21" s="16"/>
    </row>
    <row r="22" customFormat="false" ht="27.75" hidden="false" customHeight="true" outlineLevel="0" collapsed="false">
      <c r="A22" s="17" t="s">
        <v>32</v>
      </c>
      <c r="B22" s="17" t="s">
        <v>19</v>
      </c>
      <c r="C22" s="17" t="s">
        <v>18</v>
      </c>
      <c r="D22" s="17" t="s">
        <v>33</v>
      </c>
      <c r="E22" s="17" t="s">
        <v>34</v>
      </c>
      <c r="F22" s="17" t="s">
        <v>35</v>
      </c>
      <c r="G22" s="17" t="s">
        <v>36</v>
      </c>
      <c r="H22" s="17" t="s">
        <v>37</v>
      </c>
      <c r="I22" s="17" t="s">
        <v>38</v>
      </c>
      <c r="J22" s="17" t="s">
        <v>39</v>
      </c>
      <c r="K22" s="17" t="s">
        <v>40</v>
      </c>
      <c r="L22" s="17" t="s">
        <v>41</v>
      </c>
    </row>
    <row r="23" customFormat="false" ht="15" hidden="false" customHeight="false" outlineLevel="0" collapsed="false">
      <c r="A23" s="18" t="str">
        <f aca="false">IFERROR(IF('03_Visitas_DiaSeguinte'!A3="","",'03_Visitas_DiaSeguinte'!A3),"")</f>
        <v/>
      </c>
      <c r="B23" s="13" t="str">
        <f aca="false">IFERROR(IF('03_Visitas_DiaSeguinte'!B3="","",'03_Visitas_DiaSeguinte'!B3),"")</f>
        <v/>
      </c>
      <c r="C23" s="13" t="str">
        <f aca="false">IFERROR(IF('03_Visitas_DiaSeguinte'!C3="","",'03_Visitas_DiaSeguinte'!C3),"")</f>
        <v/>
      </c>
      <c r="D23" s="19" t="str">
        <f aca="false">IFERROR(IF('03_Visitas_DiaSeguinte'!D3="","",'03_Visitas_DiaSeguinte'!D3),"")</f>
        <v/>
      </c>
      <c r="E23" s="12" t="str">
        <f aca="false">IFERROR(IF('03_Visitas_DiaSeguinte'!E3="","",'03_Visitas_DiaSeguinte'!E3),"")</f>
        <v/>
      </c>
      <c r="F23" s="13" t="str">
        <f aca="false">IFERROR(IF('03_Visitas_DiaSeguinte'!H3="","",'03_Visitas_DiaSeguinte'!H3),"")</f>
        <v/>
      </c>
      <c r="G23" s="13" t="str">
        <f aca="false">IFERROR(IF('03_Visitas_DiaSeguinte'!I3="","",'03_Visitas_DiaSeguinte'!I3),"")</f>
        <v/>
      </c>
      <c r="H23" s="20" t="s">
        <v>42</v>
      </c>
      <c r="I23" s="15" t="n">
        <f aca="false">'04_Comerciais'!J6</f>
        <v>0</v>
      </c>
      <c r="J23" s="15" t="n">
        <f aca="false">'13_Metas'!$C$3</f>
        <v>60</v>
      </c>
      <c r="K23" s="13" t="str">
        <f aca="false">IF(H23="","",IF(H23&lt;=I23,"OK","DESVIO"))</f>
        <v>DESVIO</v>
      </c>
      <c r="L23" s="12" t="str">
        <f aca="false">IF(K23="DESVIO","Rever cadência 7 tentativas","Manter")</f>
        <v>Rever cadência 7 tentativas</v>
      </c>
    </row>
    <row r="24" customFormat="false" ht="15" hidden="false" customHeight="false" outlineLevel="0" collapsed="false">
      <c r="A24" s="18" t="str">
        <f aca="false">IFERROR(IF('03_Visitas_DiaSeguinte'!A4="","",'03_Visitas_DiaSeguinte'!A4),"")</f>
        <v/>
      </c>
      <c r="B24" s="13" t="str">
        <f aca="false">IFERROR(IF('03_Visitas_DiaSeguinte'!B4="","",'03_Visitas_DiaSeguinte'!B4),"")</f>
        <v/>
      </c>
      <c r="C24" s="13" t="str">
        <f aca="false">IFERROR(IF('03_Visitas_DiaSeguinte'!C4="","",'03_Visitas_DiaSeguinte'!C4),"")</f>
        <v/>
      </c>
      <c r="D24" s="19" t="str">
        <f aca="false">IFERROR(IF('03_Visitas_DiaSeguinte'!D4="","",'03_Visitas_DiaSeguinte'!D4),"")</f>
        <v/>
      </c>
      <c r="E24" s="12" t="str">
        <f aca="false">IFERROR(IF('03_Visitas_DiaSeguinte'!E4="","",'03_Visitas_DiaSeguinte'!E4),"")</f>
        <v/>
      </c>
      <c r="F24" s="13" t="str">
        <f aca="false">IFERROR(IF('03_Visitas_DiaSeguinte'!H4="","",'03_Visitas_DiaSeguinte'!H4),"")</f>
        <v/>
      </c>
      <c r="G24" s="13" t="str">
        <f aca="false">IFERROR(IF('03_Visitas_DiaSeguinte'!I4="","",'03_Visitas_DiaSeguinte'!I4),"")</f>
        <v/>
      </c>
      <c r="H24" s="20" t="s">
        <v>43</v>
      </c>
      <c r="I24" s="14" t="n">
        <f aca="false">'04_Comerciais'!E6</f>
        <v>0</v>
      </c>
      <c r="J24" s="14" t="str">
        <f aca="false">'13_Metas'!$C$4</f>
        <v>40%</v>
      </c>
      <c r="K24" s="13" t="str">
        <f aca="false">IF(H24="","",IF(H24&gt;=I24,"OK","DESVIO"))</f>
        <v>OK</v>
      </c>
      <c r="L24" s="12" t="str">
        <f aca="false">IF(K24="DESVIO","Rever script + horários","Manter")</f>
        <v>Manter</v>
      </c>
    </row>
    <row r="25" customFormat="false" ht="15" hidden="false" customHeight="false" outlineLevel="0" collapsed="false">
      <c r="A25" s="18" t="str">
        <f aca="false">IFERROR(IF('03_Visitas_DiaSeguinte'!A5="","",'03_Visitas_DiaSeguinte'!A5),"")</f>
        <v/>
      </c>
      <c r="B25" s="13" t="str">
        <f aca="false">IFERROR(IF('03_Visitas_DiaSeguinte'!B5="","",'03_Visitas_DiaSeguinte'!B5),"")</f>
        <v/>
      </c>
      <c r="C25" s="13" t="str">
        <f aca="false">IFERROR(IF('03_Visitas_DiaSeguinte'!C5="","",'03_Visitas_DiaSeguinte'!C5),"")</f>
        <v/>
      </c>
      <c r="D25" s="19" t="str">
        <f aca="false">IFERROR(IF('03_Visitas_DiaSeguinte'!D5="","",'03_Visitas_DiaSeguinte'!D5),"")</f>
        <v/>
      </c>
      <c r="E25" s="12" t="str">
        <f aca="false">IFERROR(IF('03_Visitas_DiaSeguinte'!E5="","",'03_Visitas_DiaSeguinte'!E5),"")</f>
        <v/>
      </c>
      <c r="F25" s="13" t="str">
        <f aca="false">IFERROR(IF('03_Visitas_DiaSeguinte'!H5="","",'03_Visitas_DiaSeguinte'!H5),"")</f>
        <v/>
      </c>
      <c r="G25" s="13" t="str">
        <f aca="false">IFERROR(IF('03_Visitas_DiaSeguinte'!I5="","",'03_Visitas_DiaSeguinte'!I5),"")</f>
        <v/>
      </c>
      <c r="H25" s="20" t="s">
        <v>44</v>
      </c>
      <c r="I25" s="14" t="n">
        <f aca="false">'04_Comerciais'!H6</f>
        <v>0</v>
      </c>
      <c r="J25" s="14" t="str">
        <f aca="false">'13_Metas'!$C$5</f>
        <v>30%</v>
      </c>
      <c r="K25" s="13" t="str">
        <f aca="false">IF(H25="","",IF(H25&gt;=I25,"OK","DESVIO"))</f>
        <v>OK</v>
      </c>
      <c r="L25" s="12" t="str">
        <f aca="false">IF(K25="DESVIO","Reforçar visita comercial","Manter")</f>
        <v>Manter</v>
      </c>
    </row>
    <row r="26" customFormat="false" ht="15" hidden="false" customHeight="false" outlineLevel="0" collapsed="false">
      <c r="A26" s="18" t="str">
        <f aca="false">IFERROR(IF('03_Visitas_DiaSeguinte'!A6="","",'03_Visitas_DiaSeguinte'!A6),"")</f>
        <v/>
      </c>
      <c r="B26" s="13" t="str">
        <f aca="false">IFERROR(IF('03_Visitas_DiaSeguinte'!B6="","",'03_Visitas_DiaSeguinte'!B6),"")</f>
        <v/>
      </c>
      <c r="C26" s="13" t="str">
        <f aca="false">IFERROR(IF('03_Visitas_DiaSeguinte'!C6="","",'03_Visitas_DiaSeguinte'!C6),"")</f>
        <v/>
      </c>
      <c r="D26" s="19" t="str">
        <f aca="false">IFERROR(IF('03_Visitas_DiaSeguinte'!D6="","",'03_Visitas_DiaSeguinte'!D6),"")</f>
        <v/>
      </c>
      <c r="E26" s="12" t="str">
        <f aca="false">IFERROR(IF('03_Visitas_DiaSeguinte'!E6="","",'03_Visitas_DiaSeguinte'!E6),"")</f>
        <v/>
      </c>
      <c r="F26" s="13" t="str">
        <f aca="false">IFERROR(IF('03_Visitas_DiaSeguinte'!H6="","",'03_Visitas_DiaSeguinte'!H6),"")</f>
        <v/>
      </c>
      <c r="G26" s="13" t="str">
        <f aca="false">IFERROR(IF('03_Visitas_DiaSeguinte'!I6="","",'03_Visitas_DiaSeguinte'!I6),"")</f>
        <v/>
      </c>
      <c r="H26" s="20" t="s">
        <v>45</v>
      </c>
      <c r="I26" s="14" t="n">
        <f aca="false">'04_Comerciais'!N6</f>
        <v>0</v>
      </c>
      <c r="J26" s="14" t="str">
        <f aca="false">'13_Metas'!$C$10</f>
        <v>45%</v>
      </c>
      <c r="K26" s="13" t="str">
        <f aca="false">IF(H26="","",IF(H26&gt;=I26,"OK","DESVIO"))</f>
        <v>OK</v>
      </c>
      <c r="L26" s="12" t="str">
        <f aca="false">IF(K26="DESVIO","Coaching fecho de venda","Manter")</f>
        <v>Manter</v>
      </c>
    </row>
    <row r="27" customFormat="false" ht="15" hidden="false" customHeight="false" outlineLevel="0" collapsed="false">
      <c r="A27" s="18" t="str">
        <f aca="false">IFERROR(IF('03_Visitas_DiaSeguinte'!A7="","",'03_Visitas_DiaSeguinte'!A7),"")</f>
        <v/>
      </c>
      <c r="B27" s="13" t="str">
        <f aca="false">IFERROR(IF('03_Visitas_DiaSeguinte'!B7="","",'03_Visitas_DiaSeguinte'!B7),"")</f>
        <v/>
      </c>
      <c r="C27" s="13" t="str">
        <f aca="false">IFERROR(IF('03_Visitas_DiaSeguinte'!C7="","",'03_Visitas_DiaSeguinte'!C7),"")</f>
        <v/>
      </c>
      <c r="D27" s="19" t="str">
        <f aca="false">IFERROR(IF('03_Visitas_DiaSeguinte'!D7="","",'03_Visitas_DiaSeguinte'!D7),"")</f>
        <v/>
      </c>
      <c r="E27" s="12" t="str">
        <f aca="false">IFERROR(IF('03_Visitas_DiaSeguinte'!E7="","",'03_Visitas_DiaSeguinte'!E7),"")</f>
        <v/>
      </c>
      <c r="F27" s="13" t="str">
        <f aca="false">IFERROR(IF('03_Visitas_DiaSeguinte'!H7="","",'03_Visitas_DiaSeguinte'!H7),"")</f>
        <v/>
      </c>
      <c r="G27" s="13" t="str">
        <f aca="false">IFERROR(IF('03_Visitas_DiaSeguinte'!I7="","",'03_Visitas_DiaSeguinte'!I7),"")</f>
        <v/>
      </c>
      <c r="H27" s="20" t="s">
        <v>46</v>
      </c>
      <c r="I27" s="15" t="n">
        <f aca="false">COUNTIF('02_Leads_Closum'!$J$3:$J$502,"VIOLADO")</f>
        <v>0</v>
      </c>
      <c r="J27" s="15" t="n">
        <v>0</v>
      </c>
      <c r="K27" s="13" t="str">
        <f aca="false">IF(H27="","",IF(H27&lt;=I27,"OK","DESVIO"))</f>
        <v>DESVIO</v>
      </c>
      <c r="L27" s="12" t="str">
        <f aca="false">IF(K27="DESVIO","Contactar imediatamente","Manter")</f>
        <v>Contactar imediatamente</v>
      </c>
    </row>
    <row r="28" customFormat="false" ht="15" hidden="false" customHeight="false" outlineLevel="0" collapsed="false">
      <c r="A28" s="18" t="str">
        <f aca="false">IFERROR(IF('03_Visitas_DiaSeguinte'!A8="","",'03_Visitas_DiaSeguinte'!A8),"")</f>
        <v/>
      </c>
      <c r="B28" s="13" t="str">
        <f aca="false">IFERROR(IF('03_Visitas_DiaSeguinte'!B8="","",'03_Visitas_DiaSeguinte'!B8),"")</f>
        <v/>
      </c>
      <c r="C28" s="13" t="str">
        <f aca="false">IFERROR(IF('03_Visitas_DiaSeguinte'!C8="","",'03_Visitas_DiaSeguinte'!C8),"")</f>
        <v/>
      </c>
      <c r="D28" s="19" t="str">
        <f aca="false">IFERROR(IF('03_Visitas_DiaSeguinte'!D8="","",'03_Visitas_DiaSeguinte'!D8),"")</f>
        <v/>
      </c>
      <c r="E28" s="12" t="str">
        <f aca="false">IFERROR(IF('03_Visitas_DiaSeguinte'!E8="","",'03_Visitas_DiaSeguinte'!E8),"")</f>
        <v/>
      </c>
      <c r="F28" s="13" t="str">
        <f aca="false">IFERROR(IF('03_Visitas_DiaSeguinte'!H8="","",'03_Visitas_DiaSeguinte'!H8),"")</f>
        <v/>
      </c>
      <c r="G28" s="13" t="str">
        <f aca="false">IFERROR(IF('03_Visitas_DiaSeguinte'!I8="","",'03_Visitas_DiaSeguinte'!I8),"")</f>
        <v/>
      </c>
    </row>
    <row r="29" customFormat="false" ht="15" hidden="false" customHeight="false" outlineLevel="0" collapsed="false">
      <c r="A29" s="18" t="str">
        <f aca="false">IFERROR(IF('03_Visitas_DiaSeguinte'!A9="","",'03_Visitas_DiaSeguinte'!A9),"")</f>
        <v/>
      </c>
      <c r="B29" s="13" t="str">
        <f aca="false">IFERROR(IF('03_Visitas_DiaSeguinte'!B9="","",'03_Visitas_DiaSeguinte'!B9),"")</f>
        <v/>
      </c>
      <c r="C29" s="13" t="str">
        <f aca="false">IFERROR(IF('03_Visitas_DiaSeguinte'!C9="","",'03_Visitas_DiaSeguinte'!C9),"")</f>
        <v/>
      </c>
      <c r="D29" s="19" t="str">
        <f aca="false">IFERROR(IF('03_Visitas_DiaSeguinte'!D9="","",'03_Visitas_DiaSeguinte'!D9),"")</f>
        <v/>
      </c>
      <c r="E29" s="12" t="str">
        <f aca="false">IFERROR(IF('03_Visitas_DiaSeguinte'!E9="","",'03_Visitas_DiaSeguinte'!E9),"")</f>
        <v/>
      </c>
      <c r="F29" s="13" t="str">
        <f aca="false">IFERROR(IF('03_Visitas_DiaSeguinte'!H9="","",'03_Visitas_DiaSeguinte'!H9),"")</f>
        <v/>
      </c>
      <c r="G29" s="13" t="str">
        <f aca="false">IFERROR(IF('03_Visitas_DiaSeguinte'!I9="","",'03_Visitas_DiaSeguinte'!I9),"")</f>
        <v/>
      </c>
    </row>
    <row r="30" customFormat="false" ht="15" hidden="false" customHeight="false" outlineLevel="0" collapsed="false">
      <c r="A30" s="18" t="str">
        <f aca="false">IFERROR(IF('03_Visitas_DiaSeguinte'!A10="","",'03_Visitas_DiaSeguinte'!A10),"")</f>
        <v/>
      </c>
      <c r="B30" s="13" t="str">
        <f aca="false">IFERROR(IF('03_Visitas_DiaSeguinte'!B10="","",'03_Visitas_DiaSeguinte'!B10),"")</f>
        <v/>
      </c>
      <c r="C30" s="13" t="str">
        <f aca="false">IFERROR(IF('03_Visitas_DiaSeguinte'!C10="","",'03_Visitas_DiaSeguinte'!C10),"")</f>
        <v/>
      </c>
      <c r="D30" s="19" t="str">
        <f aca="false">IFERROR(IF('03_Visitas_DiaSeguinte'!D10="","",'03_Visitas_DiaSeguinte'!D10),"")</f>
        <v/>
      </c>
      <c r="E30" s="12" t="str">
        <f aca="false">IFERROR(IF('03_Visitas_DiaSeguinte'!E10="","",'03_Visitas_DiaSeguinte'!E10),"")</f>
        <v/>
      </c>
      <c r="F30" s="13" t="str">
        <f aca="false">IFERROR(IF('03_Visitas_DiaSeguinte'!H10="","",'03_Visitas_DiaSeguinte'!H10),"")</f>
        <v/>
      </c>
      <c r="G30" s="13" t="str">
        <f aca="false">IFERROR(IF('03_Visitas_DiaSeguinte'!I10="","",'03_Visitas_DiaSeguinte'!I10),"")</f>
        <v/>
      </c>
    </row>
    <row r="31" customFormat="false" ht="15" hidden="false" customHeight="false" outlineLevel="0" collapsed="false">
      <c r="A31" s="18" t="str">
        <f aca="false">IFERROR(IF('03_Visitas_DiaSeguinte'!A11="","",'03_Visitas_DiaSeguinte'!A11),"")</f>
        <v/>
      </c>
      <c r="B31" s="13" t="str">
        <f aca="false">IFERROR(IF('03_Visitas_DiaSeguinte'!B11="","",'03_Visitas_DiaSeguinte'!B11),"")</f>
        <v/>
      </c>
      <c r="C31" s="13" t="str">
        <f aca="false">IFERROR(IF('03_Visitas_DiaSeguinte'!C11="","",'03_Visitas_DiaSeguinte'!C11),"")</f>
        <v/>
      </c>
      <c r="D31" s="19" t="str">
        <f aca="false">IFERROR(IF('03_Visitas_DiaSeguinte'!D11="","",'03_Visitas_DiaSeguinte'!D11),"")</f>
        <v/>
      </c>
      <c r="E31" s="12" t="str">
        <f aca="false">IFERROR(IF('03_Visitas_DiaSeguinte'!E11="","",'03_Visitas_DiaSeguinte'!E11),"")</f>
        <v/>
      </c>
      <c r="F31" s="13" t="str">
        <f aca="false">IFERROR(IF('03_Visitas_DiaSeguinte'!H11="","",'03_Visitas_DiaSeguinte'!H11),"")</f>
        <v/>
      </c>
      <c r="G31" s="13" t="str">
        <f aca="false">IFERROR(IF('03_Visitas_DiaSeguinte'!I11="","",'03_Visitas_DiaSeguinte'!I11),"")</f>
        <v/>
      </c>
    </row>
    <row r="32" customFormat="false" ht="15" hidden="false" customHeight="false" outlineLevel="0" collapsed="false">
      <c r="A32" s="18" t="str">
        <f aca="false">IFERROR(IF('03_Visitas_DiaSeguinte'!A12="","",'03_Visitas_DiaSeguinte'!A12),"")</f>
        <v/>
      </c>
      <c r="B32" s="13" t="str">
        <f aca="false">IFERROR(IF('03_Visitas_DiaSeguinte'!B12="","",'03_Visitas_DiaSeguinte'!B12),"")</f>
        <v/>
      </c>
      <c r="C32" s="13" t="str">
        <f aca="false">IFERROR(IF('03_Visitas_DiaSeguinte'!C12="","",'03_Visitas_DiaSeguinte'!C12),"")</f>
        <v/>
      </c>
      <c r="D32" s="19" t="str">
        <f aca="false">IFERROR(IF('03_Visitas_DiaSeguinte'!D12="","",'03_Visitas_DiaSeguinte'!D12),"")</f>
        <v/>
      </c>
      <c r="E32" s="12" t="str">
        <f aca="false">IFERROR(IF('03_Visitas_DiaSeguinte'!E12="","",'03_Visitas_DiaSeguinte'!E12),"")</f>
        <v/>
      </c>
      <c r="F32" s="13" t="str">
        <f aca="false">IFERROR(IF('03_Visitas_DiaSeguinte'!H12="","",'03_Visitas_DiaSeguinte'!H12),"")</f>
        <v/>
      </c>
      <c r="G32" s="13" t="str">
        <f aca="false">IFERROR(IF('03_Visitas_DiaSeguinte'!I12="","",'03_Visitas_DiaSeguinte'!I12),"")</f>
        <v/>
      </c>
    </row>
    <row r="33" customFormat="false" ht="15" hidden="false" customHeight="false" outlineLevel="0" collapsed="false">
      <c r="A33" s="18" t="str">
        <f aca="false">IFERROR(IF('03_Visitas_DiaSeguinte'!A13="","",'03_Visitas_DiaSeguinte'!A13),"")</f>
        <v/>
      </c>
      <c r="B33" s="13" t="str">
        <f aca="false">IFERROR(IF('03_Visitas_DiaSeguinte'!B13="","",'03_Visitas_DiaSeguinte'!B13),"")</f>
        <v/>
      </c>
      <c r="C33" s="13" t="str">
        <f aca="false">IFERROR(IF('03_Visitas_DiaSeguinte'!C13="","",'03_Visitas_DiaSeguinte'!C13),"")</f>
        <v/>
      </c>
      <c r="D33" s="19" t="str">
        <f aca="false">IFERROR(IF('03_Visitas_DiaSeguinte'!D13="","",'03_Visitas_DiaSeguinte'!D13),"")</f>
        <v/>
      </c>
      <c r="E33" s="12" t="str">
        <f aca="false">IFERROR(IF('03_Visitas_DiaSeguinte'!E13="","",'03_Visitas_DiaSeguinte'!E13),"")</f>
        <v/>
      </c>
      <c r="F33" s="13" t="str">
        <f aca="false">IFERROR(IF('03_Visitas_DiaSeguinte'!H13="","",'03_Visitas_DiaSeguinte'!H13),"")</f>
        <v/>
      </c>
      <c r="G33" s="13" t="str">
        <f aca="false">IFERROR(IF('03_Visitas_DiaSeguinte'!I13="","",'03_Visitas_DiaSeguinte'!I13),"")</f>
        <v/>
      </c>
    </row>
    <row r="34" customFormat="false" ht="15" hidden="false" customHeight="false" outlineLevel="0" collapsed="false">
      <c r="A34" s="18" t="str">
        <f aca="false">IFERROR(IF('03_Visitas_DiaSeguinte'!A14="","",'03_Visitas_DiaSeguinte'!A14),"")</f>
        <v/>
      </c>
      <c r="B34" s="13" t="str">
        <f aca="false">IFERROR(IF('03_Visitas_DiaSeguinte'!B14="","",'03_Visitas_DiaSeguinte'!B14),"")</f>
        <v/>
      </c>
      <c r="C34" s="13" t="str">
        <f aca="false">IFERROR(IF('03_Visitas_DiaSeguinte'!C14="","",'03_Visitas_DiaSeguinte'!C14),"")</f>
        <v/>
      </c>
      <c r="D34" s="19" t="str">
        <f aca="false">IFERROR(IF('03_Visitas_DiaSeguinte'!D14="","",'03_Visitas_DiaSeguinte'!D14),"")</f>
        <v/>
      </c>
      <c r="E34" s="12" t="str">
        <f aca="false">IFERROR(IF('03_Visitas_DiaSeguinte'!E14="","",'03_Visitas_DiaSeguinte'!E14),"")</f>
        <v/>
      </c>
      <c r="F34" s="13" t="str">
        <f aca="false">IFERROR(IF('03_Visitas_DiaSeguinte'!H14="","",'03_Visitas_DiaSeguinte'!H14),"")</f>
        <v/>
      </c>
      <c r="G34" s="13" t="str">
        <f aca="false">IFERROR(IF('03_Visitas_DiaSeguinte'!I14="","",'03_Visitas_DiaSeguinte'!I14),"")</f>
        <v/>
      </c>
    </row>
  </sheetData>
  <mergeCells count="29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C9"/>
    <mergeCell ref="D9:F9"/>
    <mergeCell ref="G9:I9"/>
    <mergeCell ref="J9:L9"/>
    <mergeCell ref="A10:C11"/>
    <mergeCell ref="D10:F11"/>
    <mergeCell ref="G10:I11"/>
    <mergeCell ref="J10:L11"/>
    <mergeCell ref="A12:C12"/>
    <mergeCell ref="D12:F12"/>
    <mergeCell ref="G12:I12"/>
    <mergeCell ref="J12:L12"/>
    <mergeCell ref="A14:L14"/>
    <mergeCell ref="A21:G21"/>
    <mergeCell ref="H21:L21"/>
  </mergeCells>
  <conditionalFormatting sqref="E16:E18">
    <cfRule type="expression" priority="2" aboveAverage="0" equalAverage="0" bottom="0" percent="0" rank="0" text="" dxfId="0">
      <formula>E16&gt;=VALUE('13_Metas'!$C$4)</formula>
    </cfRule>
    <cfRule type="expression" priority="3" aboveAverage="0" equalAverage="0" bottom="0" percent="0" rank="0" text="" dxfId="1">
      <formula>AND(E16&lt;VALUE('13_Metas'!$C$4),E16&gt;=VALUE('13_Metas'!$B$4))</formula>
    </cfRule>
    <cfRule type="expression" priority="4" aboveAverage="0" equalAverage="0" bottom="0" percent="0" rank="0" text="" dxfId="2">
      <formula>AND(E16&gt;0,E16&lt;VALUE('13_Metas'!$B$4))</formula>
    </cfRule>
  </conditionalFormatting>
  <conditionalFormatting sqref="H16:H18">
    <cfRule type="expression" priority="5" aboveAverage="0" equalAverage="0" bottom="0" percent="0" rank="0" text="" dxfId="0">
      <formula>H16&gt;=VALUE('13_Metas'!$C$5)</formula>
    </cfRule>
    <cfRule type="expression" priority="6" aboveAverage="0" equalAverage="0" bottom="0" percent="0" rank="0" text="" dxfId="1">
      <formula>AND(H16&lt;VALUE('13_Metas'!$C$5),H16&gt;=VALUE('13_Metas'!$B$4))</formula>
    </cfRule>
    <cfRule type="expression" priority="7" aboveAverage="0" equalAverage="0" bottom="0" percent="0" rank="0" text="" dxfId="2">
      <formula>AND(H16&gt;0,H16&lt;VALUE('13_Metas'!$B$4))</formula>
    </cfRule>
  </conditionalFormatting>
  <conditionalFormatting sqref="L16:L18">
    <cfRule type="expression" priority="8" aboveAverage="0" equalAverage="0" bottom="0" percent="0" rank="0" text="" dxfId="0">
      <formula>L16&gt;=VALUE('13_Metas'!$C$10)</formula>
    </cfRule>
    <cfRule type="expression" priority="9" aboveAverage="0" equalAverage="0" bottom="0" percent="0" rank="0" text="" dxfId="1">
      <formula>AND(L16&lt;VALUE('13_Metas'!$C$10),L16&gt;=VALUE('13_Metas'!$B$4))</formula>
    </cfRule>
    <cfRule type="expression" priority="10" aboveAverage="0" equalAverage="0" bottom="0" percent="0" rank="0" text="" dxfId="2">
      <formula>AND(L16&gt;0,L16&lt;VALUE('13_Metas'!$B$4))</formula>
    </cfRule>
  </conditionalFormatting>
  <conditionalFormatting sqref="J16:J18">
    <cfRule type="expression" priority="11" aboveAverage="0" equalAverage="0" bottom="0" percent="0" rank="0" text="" dxfId="0">
      <formula>AND(J16&gt;0,J16&lt;=VALUE('13_Metas'!$C$3))</formula>
    </cfRule>
    <cfRule type="expression" priority="12" aboveAverage="0" equalAverage="0" bottom="0" percent="0" rank="0" text="" dxfId="1">
      <formula>AND(J16&gt;VALUE('13_Metas'!$C$3),J16&lt;=VALUE('13_Metas'!$B$3))</formula>
    </cfRule>
    <cfRule type="expression" priority="13" aboveAverage="0" equalAverage="0" bottom="0" percent="0" rank="0" text="" dxfId="2">
      <formula>J16&gt;VALUE('13_Metas'!$B$3)</formula>
    </cfRule>
  </conditionalFormatting>
  <conditionalFormatting sqref="K23">
    <cfRule type="cellIs" priority="14" operator="equal" aboveAverage="0" equalAverage="0" bottom="0" percent="0" rank="0" text="" dxfId="0">
      <formula>"OK"</formula>
    </cfRule>
    <cfRule type="cellIs" priority="15" operator="equal" aboveAverage="0" equalAverage="0" bottom="0" percent="0" rank="0" text="" dxfId="2">
      <formula>"DESVIO"</formula>
    </cfRule>
  </conditionalFormatting>
  <conditionalFormatting sqref="K24">
    <cfRule type="cellIs" priority="16" operator="equal" aboveAverage="0" equalAverage="0" bottom="0" percent="0" rank="0" text="" dxfId="0">
      <formula>"OK"</formula>
    </cfRule>
    <cfRule type="cellIs" priority="17" operator="equal" aboveAverage="0" equalAverage="0" bottom="0" percent="0" rank="0" text="" dxfId="2">
      <formula>"DESVIO"</formula>
    </cfRule>
  </conditionalFormatting>
  <conditionalFormatting sqref="K25">
    <cfRule type="cellIs" priority="18" operator="equal" aboveAverage="0" equalAverage="0" bottom="0" percent="0" rank="0" text="" dxfId="0">
      <formula>"OK"</formula>
    </cfRule>
    <cfRule type="cellIs" priority="19" operator="equal" aboveAverage="0" equalAverage="0" bottom="0" percent="0" rank="0" text="" dxfId="2">
      <formula>"DESVIO"</formula>
    </cfRule>
  </conditionalFormatting>
  <conditionalFormatting sqref="K26">
    <cfRule type="cellIs" priority="20" operator="equal" aboveAverage="0" equalAverage="0" bottom="0" percent="0" rank="0" text="" dxfId="0">
      <formula>"OK"</formula>
    </cfRule>
    <cfRule type="cellIs" priority="21" operator="equal" aboveAverage="0" equalAverage="0" bottom="0" percent="0" rank="0" text="" dxfId="2">
      <formula>"DESVIO"</formula>
    </cfRule>
  </conditionalFormatting>
  <conditionalFormatting sqref="K27">
    <cfRule type="cellIs" priority="22" operator="equal" aboveAverage="0" equalAverage="0" bottom="0" percent="0" rank="0" text="" dxfId="0">
      <formula>"OK"</formula>
    </cfRule>
    <cfRule type="cellIs" priority="23" operator="equal" aboveAverage="0" equalAverage="0" bottom="0" percent="0" rank="0" text="" dxfId="2">
      <formula>"DESVIO"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37.5" hidden="false" customHeight="true" outlineLevel="0" collapsed="false">
      <c r="A1" s="21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27.75" hidden="false" customHeight="true" outlineLevel="0" collapsed="false">
      <c r="A2" s="11" t="s">
        <v>32</v>
      </c>
      <c r="B2" s="11" t="s">
        <v>19</v>
      </c>
      <c r="C2" s="11" t="s">
        <v>18</v>
      </c>
      <c r="D2" s="11" t="s">
        <v>48</v>
      </c>
      <c r="E2" s="11" t="s">
        <v>49</v>
      </c>
      <c r="F2" s="11" t="s">
        <v>50</v>
      </c>
      <c r="G2" s="11" t="s">
        <v>51</v>
      </c>
      <c r="H2" s="11" t="s">
        <v>52</v>
      </c>
      <c r="I2" s="11" t="s">
        <v>53</v>
      </c>
      <c r="J2" s="11" t="s">
        <v>54</v>
      </c>
      <c r="K2" s="11" t="s">
        <v>28</v>
      </c>
      <c r="L2" s="11" t="s">
        <v>55</v>
      </c>
      <c r="M2" s="11" t="s">
        <v>56</v>
      </c>
    </row>
    <row r="3" customFormat="false" ht="15" hidden="false" customHeight="false" outlineLevel="0" collapsed="false">
      <c r="A3" s="22"/>
      <c r="B3" s="12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customFormat="false" ht="15" hidden="false" customHeight="false" outlineLevel="0" collapsed="false">
      <c r="A4" s="22"/>
      <c r="B4" s="12"/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customFormat="false" ht="15" hidden="false" customHeight="false" outlineLevel="0" collapsed="false">
      <c r="A5" s="22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customFormat="false" ht="15" hidden="false" customHeight="false" outlineLevel="0" collapsed="false">
      <c r="A6" s="22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customFormat="false" ht="15" hidden="false" customHeight="false" outlineLevel="0" collapsed="false">
      <c r="A7" s="22"/>
      <c r="B7" s="12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customFormat="false" ht="15" hidden="false" customHeight="false" outlineLevel="0" collapsed="false">
      <c r="A8" s="22"/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customFormat="false" ht="15" hidden="false" customHeight="false" outlineLevel="0" collapsed="false">
      <c r="A9" s="22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15" hidden="false" customHeight="false" outlineLevel="0" collapsed="false">
      <c r="A10" s="22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</row>
    <row r="11" customFormat="false" ht="15" hidden="false" customHeight="false" outlineLevel="0" collapsed="false">
      <c r="A11" s="22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customFormat="false" ht="15" hidden="false" customHeight="false" outlineLevel="0" collapsed="false">
      <c r="A12" s="22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customFormat="false" ht="15" hidden="false" customHeight="false" outlineLevel="0" collapsed="false">
      <c r="A13" s="22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customFormat="false" ht="15" hidden="false" customHeight="false" outlineLevel="0" collapsed="false">
      <c r="A14" s="22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customFormat="false" ht="15" hidden="false" customHeight="false" outlineLevel="0" collapsed="false">
      <c r="A15" s="22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customFormat="false" ht="15" hidden="false" customHeight="false" outlineLevel="0" collapsed="false">
      <c r="A16" s="22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customFormat="false" ht="15" hidden="false" customHeight="false" outlineLevel="0" collapsed="false">
      <c r="A17" s="22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customFormat="false" ht="15" hidden="false" customHeight="false" outlineLevel="0" collapsed="false">
      <c r="A18" s="22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customFormat="false" ht="15" hidden="false" customHeight="false" outlineLevel="0" collapsed="false">
      <c r="A19" s="22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customFormat="false" ht="15" hidden="false" customHeight="false" outlineLevel="0" collapsed="false">
      <c r="A20" s="22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customFormat="false" ht="15" hidden="false" customHeight="false" outlineLevel="0" collapsed="false">
      <c r="A21" s="22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customFormat="false" ht="15" hidden="false" customHeight="false" outlineLevel="0" collapsed="false">
      <c r="A22" s="22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customFormat="false" ht="15" hidden="false" customHeight="false" outlineLevel="0" collapsed="false">
      <c r="A23" s="22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customFormat="false" ht="15" hidden="false" customHeight="false" outlineLevel="0" collapsed="false">
      <c r="A24" s="22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customFormat="false" ht="15" hidden="false" customHeight="false" outlineLevel="0" collapsed="false">
      <c r="A25" s="22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customFormat="false" ht="15" hidden="false" customHeight="false" outlineLevel="0" collapsed="false">
      <c r="A26" s="22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customFormat="false" ht="15" hidden="false" customHeight="false" outlineLevel="0" collapsed="false">
      <c r="A27" s="22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customFormat="false" ht="15" hidden="false" customHeight="false" outlineLevel="0" collapsed="false">
      <c r="A28" s="22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customFormat="false" ht="15" hidden="false" customHeight="false" outlineLevel="0" collapsed="false">
      <c r="A29" s="22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customFormat="false" ht="15" hidden="false" customHeight="false" outlineLevel="0" collapsed="false">
      <c r="A30" s="22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Format="false" ht="15" hidden="false" customHeight="false" outlineLevel="0" collapsed="false">
      <c r="A31" s="22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Format="false" ht="15" hidden="false" customHeight="false" outlineLevel="0" collapsed="false">
      <c r="A32" s="22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Format="false" ht="15" hidden="false" customHeight="false" outlineLevel="0" collapsed="false">
      <c r="A33" s="22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customFormat="false" ht="15" hidden="false" customHeight="false" outlineLevel="0" collapsed="false">
      <c r="A34" s="22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customFormat="false" ht="15" hidden="false" customHeight="false" outlineLevel="0" collapsed="false">
      <c r="A35" s="22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customFormat="false" ht="15" hidden="false" customHeight="false" outlineLevel="0" collapsed="false">
      <c r="A36" s="22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customFormat="false" ht="15" hidden="false" customHeight="false" outlineLevel="0" collapsed="false">
      <c r="A37" s="22"/>
      <c r="B37" s="12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customFormat="false" ht="15" hidden="false" customHeight="false" outlineLevel="0" collapsed="false">
      <c r="A38" s="22"/>
      <c r="B38" s="12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customFormat="false" ht="15" hidden="false" customHeight="false" outlineLevel="0" collapsed="false">
      <c r="A39" s="22"/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customFormat="false" ht="15" hidden="false" customHeight="false" outlineLevel="0" collapsed="false">
      <c r="A40" s="22"/>
      <c r="B40" s="12"/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customFormat="false" ht="15" hidden="false" customHeight="false" outlineLevel="0" collapsed="false">
      <c r="A41" s="22"/>
      <c r="B41" s="12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customFormat="false" ht="15" hidden="false" customHeight="false" outlineLevel="0" collapsed="false">
      <c r="A42" s="22"/>
      <c r="B42" s="12"/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customFormat="false" ht="15" hidden="false" customHeight="false" outlineLevel="0" collapsed="false">
      <c r="A43" s="22"/>
      <c r="B43" s="12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customFormat="false" ht="15" hidden="false" customHeight="false" outlineLevel="0" collapsed="false">
      <c r="A44" s="22"/>
      <c r="B44" s="12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customFormat="false" ht="15" hidden="false" customHeight="false" outlineLevel="0" collapsed="false">
      <c r="A45" s="22"/>
      <c r="B45" s="12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customFormat="false" ht="15" hidden="false" customHeight="false" outlineLevel="0" collapsed="false">
      <c r="A46" s="22"/>
      <c r="B46" s="12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customFormat="false" ht="15" hidden="false" customHeight="false" outlineLevel="0" collapsed="false">
      <c r="A47" s="22"/>
      <c r="B47" s="12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customFormat="false" ht="15" hidden="false" customHeight="false" outlineLevel="0" collapsed="false">
      <c r="A48" s="22"/>
      <c r="B48" s="12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customFormat="false" ht="15" hidden="false" customHeight="false" outlineLevel="0" collapsed="false">
      <c r="A49" s="22"/>
      <c r="B49" s="12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customFormat="false" ht="15" hidden="false" customHeight="false" outlineLevel="0" collapsed="false">
      <c r="A50" s="22"/>
      <c r="B50" s="12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customFormat="false" ht="15" hidden="false" customHeight="false" outlineLevel="0" collapsed="false">
      <c r="A51" s="22"/>
      <c r="B51" s="12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customFormat="false" ht="15" hidden="false" customHeight="false" outlineLevel="0" collapsed="false">
      <c r="A52" s="22"/>
      <c r="B52" s="12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customFormat="false" ht="15" hidden="false" customHeight="false" outlineLevel="0" collapsed="false">
      <c r="A53" s="22"/>
      <c r="B53" s="12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customFormat="false" ht="15" hidden="false" customHeight="false" outlineLevel="0" collapsed="false">
      <c r="A54" s="22"/>
      <c r="B54" s="12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customFormat="false" ht="15" hidden="false" customHeight="false" outlineLevel="0" collapsed="false">
      <c r="A55" s="22"/>
      <c r="B55" s="12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customFormat="false" ht="15" hidden="false" customHeight="false" outlineLevel="0" collapsed="false">
      <c r="A56" s="22"/>
      <c r="B56" s="12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customFormat="false" ht="15" hidden="false" customHeight="false" outlineLevel="0" collapsed="false">
      <c r="A57" s="22"/>
      <c r="B57" s="12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customFormat="false" ht="15" hidden="false" customHeight="false" outlineLevel="0" collapsed="false">
      <c r="A58" s="22"/>
      <c r="B58" s="12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customFormat="false" ht="15" hidden="false" customHeight="false" outlineLevel="0" collapsed="false">
      <c r="A59" s="22"/>
      <c r="B59" s="12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customFormat="false" ht="15" hidden="false" customHeight="false" outlineLevel="0" collapsed="false">
      <c r="A60" s="22"/>
      <c r="B60" s="12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customFormat="false" ht="15" hidden="false" customHeight="false" outlineLevel="0" collapsed="false">
      <c r="A61" s="22"/>
      <c r="B61" s="12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customFormat="false" ht="15" hidden="false" customHeight="false" outlineLevel="0" collapsed="false">
      <c r="A62" s="22"/>
      <c r="B62" s="12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customFormat="false" ht="15" hidden="false" customHeight="false" outlineLevel="0" collapsed="false">
      <c r="A63" s="22"/>
      <c r="B63" s="12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customFormat="false" ht="15" hidden="false" customHeight="false" outlineLevel="0" collapsed="false">
      <c r="A64" s="22"/>
      <c r="B64" s="12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customFormat="false" ht="15" hidden="false" customHeight="false" outlineLevel="0" collapsed="false">
      <c r="A65" s="22"/>
      <c r="B65" s="12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customFormat="false" ht="15" hidden="false" customHeight="false" outlineLevel="0" collapsed="false">
      <c r="A66" s="22"/>
      <c r="B66" s="1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customFormat="false" ht="15" hidden="false" customHeight="false" outlineLevel="0" collapsed="false">
      <c r="A67" s="22"/>
      <c r="B67" s="12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customFormat="false" ht="15" hidden="false" customHeight="false" outlineLevel="0" collapsed="false">
      <c r="A68" s="22"/>
      <c r="B68" s="12"/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customFormat="false" ht="15" hidden="false" customHeight="false" outlineLevel="0" collapsed="false">
      <c r="A69" s="22"/>
      <c r="B69" s="12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customFormat="false" ht="15" hidden="false" customHeight="false" outlineLevel="0" collapsed="false">
      <c r="A70" s="22"/>
      <c r="B70" s="12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customFormat="false" ht="15" hidden="false" customHeight="false" outlineLevel="0" collapsed="false">
      <c r="A71" s="22"/>
      <c r="B71" s="12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customFormat="false" ht="15" hidden="false" customHeight="false" outlineLevel="0" collapsed="false">
      <c r="A72" s="22"/>
      <c r="B72" s="12"/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customFormat="false" ht="15" hidden="false" customHeight="false" outlineLevel="0" collapsed="false">
      <c r="A73" s="22"/>
      <c r="B73" s="12"/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customFormat="false" ht="15" hidden="false" customHeight="false" outlineLevel="0" collapsed="false">
      <c r="A74" s="22"/>
      <c r="B74" s="12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customFormat="false" ht="15" hidden="false" customHeight="false" outlineLevel="0" collapsed="false">
      <c r="A75" s="22"/>
      <c r="B75" s="12"/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customFormat="false" ht="15" hidden="false" customHeight="false" outlineLevel="0" collapsed="false">
      <c r="A76" s="22"/>
      <c r="B76" s="12"/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customFormat="false" ht="15" hidden="false" customHeight="false" outlineLevel="0" collapsed="false">
      <c r="A77" s="22"/>
      <c r="B77" s="12"/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customFormat="false" ht="15" hidden="false" customHeight="false" outlineLevel="0" collapsed="false">
      <c r="A78" s="22"/>
      <c r="B78" s="12"/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customFormat="false" ht="15" hidden="false" customHeight="false" outlineLevel="0" collapsed="false">
      <c r="A79" s="22"/>
      <c r="B79" s="12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customFormat="false" ht="15" hidden="false" customHeight="false" outlineLevel="0" collapsed="false">
      <c r="A80" s="22"/>
      <c r="B80" s="12"/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customFormat="false" ht="15" hidden="false" customHeight="false" outlineLevel="0" collapsed="false">
      <c r="A81" s="22"/>
      <c r="B81" s="12"/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customFormat="false" ht="15" hidden="false" customHeight="false" outlineLevel="0" collapsed="false">
      <c r="A82" s="22"/>
      <c r="B82" s="12"/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customFormat="false" ht="15" hidden="false" customHeight="false" outlineLevel="0" collapsed="false">
      <c r="A83" s="22"/>
      <c r="B83" s="12"/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customFormat="false" ht="15" hidden="false" customHeight="false" outlineLevel="0" collapsed="false">
      <c r="A84" s="22"/>
      <c r="B84" s="12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customFormat="false" ht="15" hidden="false" customHeight="false" outlineLevel="0" collapsed="false">
      <c r="A85" s="22"/>
      <c r="B85" s="12"/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customFormat="false" ht="15" hidden="false" customHeight="false" outlineLevel="0" collapsed="false">
      <c r="A86" s="22"/>
      <c r="B86" s="12"/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customFormat="false" ht="15" hidden="false" customHeight="false" outlineLevel="0" collapsed="false">
      <c r="A87" s="22"/>
      <c r="B87" s="12"/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customFormat="false" ht="15" hidden="false" customHeight="false" outlineLevel="0" collapsed="false">
      <c r="A88" s="22"/>
      <c r="B88" s="12"/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customFormat="false" ht="15" hidden="false" customHeight="false" outlineLevel="0" collapsed="false">
      <c r="A89" s="22"/>
      <c r="B89" s="12"/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customFormat="false" ht="15" hidden="false" customHeight="false" outlineLevel="0" collapsed="false">
      <c r="A90" s="22"/>
      <c r="B90" s="12"/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customFormat="false" ht="15" hidden="false" customHeight="false" outlineLevel="0" collapsed="false">
      <c r="A91" s="22"/>
      <c r="B91" s="12"/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customFormat="false" ht="15" hidden="false" customHeight="false" outlineLevel="0" collapsed="false">
      <c r="A92" s="22"/>
      <c r="B92" s="12"/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customFormat="false" ht="15" hidden="false" customHeight="false" outlineLevel="0" collapsed="false">
      <c r="A93" s="22"/>
      <c r="B93" s="12"/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customFormat="false" ht="15" hidden="false" customHeight="false" outlineLevel="0" collapsed="false">
      <c r="A94" s="22"/>
      <c r="B94" s="12"/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customFormat="false" ht="15" hidden="false" customHeight="false" outlineLevel="0" collapsed="false">
      <c r="A95" s="22"/>
      <c r="B95" s="12"/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customFormat="false" ht="15" hidden="false" customHeight="false" outlineLevel="0" collapsed="false">
      <c r="A96" s="22"/>
      <c r="B96" s="12"/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customFormat="false" ht="15" hidden="false" customHeight="false" outlineLevel="0" collapsed="false">
      <c r="A97" s="22"/>
      <c r="B97" s="12"/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customFormat="false" ht="15" hidden="false" customHeight="false" outlineLevel="0" collapsed="false">
      <c r="A98" s="22"/>
      <c r="B98" s="12"/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customFormat="false" ht="15" hidden="false" customHeight="false" outlineLevel="0" collapsed="false">
      <c r="A99" s="22"/>
      <c r="B99" s="12"/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customFormat="false" ht="15" hidden="false" customHeight="false" outlineLevel="0" collapsed="false">
      <c r="A100" s="22"/>
      <c r="B100" s="12"/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customFormat="false" ht="15" hidden="false" customHeight="false" outlineLevel="0" collapsed="false">
      <c r="A101" s="22"/>
      <c r="B101" s="12"/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customFormat="false" ht="15" hidden="false" customHeight="false" outlineLevel="0" collapsed="false">
      <c r="A102" s="22"/>
      <c r="B102" s="12"/>
      <c r="C102" s="12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customFormat="false" ht="15" hidden="false" customHeight="false" outlineLevel="0" collapsed="false">
      <c r="A103" s="22"/>
      <c r="B103" s="12"/>
      <c r="C103" s="12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customFormat="false" ht="15" hidden="false" customHeight="false" outlineLevel="0" collapsed="false">
      <c r="A104" s="22"/>
      <c r="B104" s="12"/>
      <c r="C104" s="12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customFormat="false" ht="15" hidden="false" customHeight="false" outlineLevel="0" collapsed="false">
      <c r="A105" s="22"/>
      <c r="B105" s="12"/>
      <c r="C105" s="12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customFormat="false" ht="15" hidden="false" customHeight="false" outlineLevel="0" collapsed="false">
      <c r="A106" s="22"/>
      <c r="B106" s="12"/>
      <c r="C106" s="12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customFormat="false" ht="15" hidden="false" customHeight="false" outlineLevel="0" collapsed="false">
      <c r="A107" s="22"/>
      <c r="B107" s="12"/>
      <c r="C107" s="12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customFormat="false" ht="15" hidden="false" customHeight="false" outlineLevel="0" collapsed="false">
      <c r="A108" s="22"/>
      <c r="B108" s="12"/>
      <c r="C108" s="12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customFormat="false" ht="15" hidden="false" customHeight="false" outlineLevel="0" collapsed="false">
      <c r="A109" s="22"/>
      <c r="B109" s="12"/>
      <c r="C109" s="12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customFormat="false" ht="15" hidden="false" customHeight="false" outlineLevel="0" collapsed="false">
      <c r="A110" s="22"/>
      <c r="B110" s="12"/>
      <c r="C110" s="12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customFormat="false" ht="15" hidden="false" customHeight="false" outlineLevel="0" collapsed="false">
      <c r="A111" s="22"/>
      <c r="B111" s="12"/>
      <c r="C111" s="12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customFormat="false" ht="15" hidden="false" customHeight="false" outlineLevel="0" collapsed="false">
      <c r="A112" s="22"/>
      <c r="B112" s="12"/>
      <c r="C112" s="12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customFormat="false" ht="15" hidden="false" customHeight="false" outlineLevel="0" collapsed="false">
      <c r="A113" s="22"/>
      <c r="B113" s="12"/>
      <c r="C113" s="12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customFormat="false" ht="15" hidden="false" customHeight="false" outlineLevel="0" collapsed="false">
      <c r="A114" s="22"/>
      <c r="B114" s="12"/>
      <c r="C114" s="12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customFormat="false" ht="15" hidden="false" customHeight="false" outlineLevel="0" collapsed="false">
      <c r="A115" s="22"/>
      <c r="B115" s="12"/>
      <c r="C115" s="12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customFormat="false" ht="15" hidden="false" customHeight="false" outlineLevel="0" collapsed="false">
      <c r="A116" s="22"/>
      <c r="B116" s="12"/>
      <c r="C116" s="12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customFormat="false" ht="15" hidden="false" customHeight="false" outlineLevel="0" collapsed="false">
      <c r="A117" s="22"/>
      <c r="B117" s="12"/>
      <c r="C117" s="12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customFormat="false" ht="15" hidden="false" customHeight="false" outlineLevel="0" collapsed="false">
      <c r="A118" s="22"/>
      <c r="B118" s="12"/>
      <c r="C118" s="12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customFormat="false" ht="15" hidden="false" customHeight="false" outlineLevel="0" collapsed="false">
      <c r="A119" s="22"/>
      <c r="B119" s="12"/>
      <c r="C119" s="12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customFormat="false" ht="15" hidden="false" customHeight="false" outlineLevel="0" collapsed="false">
      <c r="A120" s="22"/>
      <c r="B120" s="12"/>
      <c r="C120" s="12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customFormat="false" ht="15" hidden="false" customHeight="false" outlineLevel="0" collapsed="false">
      <c r="A121" s="22"/>
      <c r="B121" s="12"/>
      <c r="C121" s="12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customFormat="false" ht="15" hidden="false" customHeight="false" outlineLevel="0" collapsed="false">
      <c r="A122" s="22"/>
      <c r="B122" s="12"/>
      <c r="C122" s="12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customFormat="false" ht="15" hidden="false" customHeight="false" outlineLevel="0" collapsed="false">
      <c r="A123" s="22"/>
      <c r="B123" s="12"/>
      <c r="C123" s="12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customFormat="false" ht="15" hidden="false" customHeight="false" outlineLevel="0" collapsed="false">
      <c r="A124" s="22"/>
      <c r="B124" s="12"/>
      <c r="C124" s="12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customFormat="false" ht="15" hidden="false" customHeight="false" outlineLevel="0" collapsed="false">
      <c r="A125" s="22"/>
      <c r="B125" s="12"/>
      <c r="C125" s="12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customFormat="false" ht="15" hidden="false" customHeight="false" outlineLevel="0" collapsed="false">
      <c r="A126" s="22"/>
      <c r="B126" s="12"/>
      <c r="C126" s="12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customFormat="false" ht="15" hidden="false" customHeight="false" outlineLevel="0" collapsed="false">
      <c r="A127" s="22"/>
      <c r="B127" s="12"/>
      <c r="C127" s="12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customFormat="false" ht="15" hidden="false" customHeight="false" outlineLevel="0" collapsed="false">
      <c r="A128" s="22"/>
      <c r="B128" s="12"/>
      <c r="C128" s="12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customFormat="false" ht="15" hidden="false" customHeight="false" outlineLevel="0" collapsed="false">
      <c r="A129" s="22"/>
      <c r="B129" s="12"/>
      <c r="C129" s="12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customFormat="false" ht="15" hidden="false" customHeight="false" outlineLevel="0" collapsed="false">
      <c r="A130" s="22"/>
      <c r="B130" s="12"/>
      <c r="C130" s="12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customFormat="false" ht="15" hidden="false" customHeight="false" outlineLevel="0" collapsed="false">
      <c r="A131" s="22"/>
      <c r="B131" s="12"/>
      <c r="C131" s="12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customFormat="false" ht="15" hidden="false" customHeight="false" outlineLevel="0" collapsed="false">
      <c r="A132" s="22"/>
      <c r="B132" s="12"/>
      <c r="C132" s="12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customFormat="false" ht="15" hidden="false" customHeight="false" outlineLevel="0" collapsed="false">
      <c r="A133" s="22"/>
      <c r="B133" s="12"/>
      <c r="C133" s="12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customFormat="false" ht="15" hidden="false" customHeight="false" outlineLevel="0" collapsed="false">
      <c r="A134" s="22"/>
      <c r="B134" s="12"/>
      <c r="C134" s="12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customFormat="false" ht="15" hidden="false" customHeight="false" outlineLevel="0" collapsed="false">
      <c r="A135" s="22"/>
      <c r="B135" s="12"/>
      <c r="C135" s="12"/>
      <c r="D135" s="13"/>
      <c r="E135" s="13"/>
      <c r="F135" s="13"/>
      <c r="G135" s="13"/>
      <c r="H135" s="13"/>
      <c r="I135" s="13"/>
      <c r="J135" s="13"/>
      <c r="K135" s="13"/>
      <c r="L135" s="13"/>
      <c r="M135" s="13"/>
    </row>
    <row r="136" customFormat="false" ht="15" hidden="false" customHeight="false" outlineLevel="0" collapsed="false">
      <c r="A136" s="22"/>
      <c r="B136" s="12"/>
      <c r="C136" s="12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customFormat="false" ht="15" hidden="false" customHeight="false" outlineLevel="0" collapsed="false">
      <c r="A137" s="22"/>
      <c r="B137" s="12"/>
      <c r="C137" s="12"/>
      <c r="D137" s="13"/>
      <c r="E137" s="13"/>
      <c r="F137" s="13"/>
      <c r="G137" s="13"/>
      <c r="H137" s="13"/>
      <c r="I137" s="13"/>
      <c r="J137" s="13"/>
      <c r="K137" s="13"/>
      <c r="L137" s="13"/>
      <c r="M137" s="13"/>
    </row>
    <row r="138" customFormat="false" ht="15" hidden="false" customHeight="false" outlineLevel="0" collapsed="false">
      <c r="A138" s="22"/>
      <c r="B138" s="12"/>
      <c r="C138" s="12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customFormat="false" ht="15" hidden="false" customHeight="false" outlineLevel="0" collapsed="false">
      <c r="A139" s="22"/>
      <c r="B139" s="12"/>
      <c r="C139" s="12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40" customFormat="false" ht="15" hidden="false" customHeight="false" outlineLevel="0" collapsed="false">
      <c r="A140" s="22"/>
      <c r="B140" s="12"/>
      <c r="C140" s="12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customFormat="false" ht="15" hidden="false" customHeight="false" outlineLevel="0" collapsed="false">
      <c r="A141" s="22"/>
      <c r="B141" s="12"/>
      <c r="C141" s="12"/>
      <c r="D141" s="13"/>
      <c r="E141" s="13"/>
      <c r="F141" s="13"/>
      <c r="G141" s="13"/>
      <c r="H141" s="13"/>
      <c r="I141" s="13"/>
      <c r="J141" s="13"/>
      <c r="K141" s="13"/>
      <c r="L141" s="13"/>
      <c r="M141" s="13"/>
    </row>
    <row r="142" customFormat="false" ht="15" hidden="false" customHeight="false" outlineLevel="0" collapsed="false">
      <c r="A142" s="22"/>
      <c r="B142" s="12"/>
      <c r="C142" s="12"/>
      <c r="D142" s="13"/>
      <c r="E142" s="13"/>
      <c r="F142" s="13"/>
      <c r="G142" s="13"/>
      <c r="H142" s="13"/>
      <c r="I142" s="13"/>
      <c r="J142" s="13"/>
      <c r="K142" s="13"/>
      <c r="L142" s="13"/>
      <c r="M142" s="13"/>
    </row>
    <row r="143" customFormat="false" ht="15" hidden="false" customHeight="false" outlineLevel="0" collapsed="false">
      <c r="A143" s="22"/>
      <c r="B143" s="12"/>
      <c r="C143" s="12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customFormat="false" ht="15" hidden="false" customHeight="false" outlineLevel="0" collapsed="false">
      <c r="A144" s="22"/>
      <c r="B144" s="12"/>
      <c r="C144" s="12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customFormat="false" ht="15" hidden="false" customHeight="false" outlineLevel="0" collapsed="false">
      <c r="A145" s="22"/>
      <c r="B145" s="12"/>
      <c r="C145" s="12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customFormat="false" ht="15" hidden="false" customHeight="false" outlineLevel="0" collapsed="false">
      <c r="A146" s="22"/>
      <c r="B146" s="12"/>
      <c r="C146" s="12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customFormat="false" ht="15" hidden="false" customHeight="false" outlineLevel="0" collapsed="false">
      <c r="A147" s="22"/>
      <c r="B147" s="12"/>
      <c r="C147" s="12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customFormat="false" ht="15" hidden="false" customHeight="false" outlineLevel="0" collapsed="false">
      <c r="A148" s="22"/>
      <c r="B148" s="12"/>
      <c r="C148" s="12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customFormat="false" ht="15" hidden="false" customHeight="false" outlineLevel="0" collapsed="false">
      <c r="A149" s="22"/>
      <c r="B149" s="12"/>
      <c r="C149" s="12"/>
      <c r="D149" s="13"/>
      <c r="E149" s="13"/>
      <c r="F149" s="13"/>
      <c r="G149" s="13"/>
      <c r="H149" s="13"/>
      <c r="I149" s="13"/>
      <c r="J149" s="13"/>
      <c r="K149" s="13"/>
      <c r="L149" s="13"/>
      <c r="M149" s="13"/>
    </row>
    <row r="150" customFormat="false" ht="15" hidden="false" customHeight="false" outlineLevel="0" collapsed="false">
      <c r="A150" s="22"/>
      <c r="B150" s="12"/>
      <c r="C150" s="12"/>
      <c r="D150" s="13"/>
      <c r="E150" s="13"/>
      <c r="F150" s="13"/>
      <c r="G150" s="13"/>
      <c r="H150" s="13"/>
      <c r="I150" s="13"/>
      <c r="J150" s="13"/>
      <c r="K150" s="13"/>
      <c r="L150" s="13"/>
      <c r="M150" s="13"/>
    </row>
    <row r="151" customFormat="false" ht="15" hidden="false" customHeight="false" outlineLevel="0" collapsed="false">
      <c r="A151" s="22"/>
      <c r="B151" s="12"/>
      <c r="C151" s="12"/>
      <c r="D151" s="13"/>
      <c r="E151" s="13"/>
      <c r="F151" s="13"/>
      <c r="G151" s="13"/>
      <c r="H151" s="13"/>
      <c r="I151" s="13"/>
      <c r="J151" s="13"/>
      <c r="K151" s="13"/>
      <c r="L151" s="13"/>
      <c r="M151" s="13"/>
    </row>
    <row r="152" customFormat="false" ht="15" hidden="false" customHeight="false" outlineLevel="0" collapsed="false">
      <c r="A152" s="22"/>
      <c r="B152" s="12"/>
      <c r="C152" s="12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customFormat="false" ht="15" hidden="false" customHeight="false" outlineLevel="0" collapsed="false">
      <c r="A153" s="22"/>
      <c r="B153" s="12"/>
      <c r="C153" s="12"/>
      <c r="D153" s="13"/>
      <c r="E153" s="13"/>
      <c r="F153" s="13"/>
      <c r="G153" s="13"/>
      <c r="H153" s="13"/>
      <c r="I153" s="13"/>
      <c r="J153" s="13"/>
      <c r="K153" s="13"/>
      <c r="L153" s="13"/>
      <c r="M153" s="13"/>
    </row>
    <row r="154" customFormat="false" ht="15" hidden="false" customHeight="false" outlineLevel="0" collapsed="false">
      <c r="A154" s="22"/>
      <c r="B154" s="12"/>
      <c r="C154" s="12"/>
      <c r="D154" s="13"/>
      <c r="E154" s="13"/>
      <c r="F154" s="13"/>
      <c r="G154" s="13"/>
      <c r="H154" s="13"/>
      <c r="I154" s="13"/>
      <c r="J154" s="13"/>
      <c r="K154" s="13"/>
      <c r="L154" s="13"/>
      <c r="M154" s="13"/>
    </row>
    <row r="155" customFormat="false" ht="15" hidden="false" customHeight="false" outlineLevel="0" collapsed="false">
      <c r="A155" s="22"/>
      <c r="B155" s="12"/>
      <c r="C155" s="12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customFormat="false" ht="15" hidden="false" customHeight="false" outlineLevel="0" collapsed="false">
      <c r="A156" s="22"/>
      <c r="B156" s="12"/>
      <c r="C156" s="12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customFormat="false" ht="15" hidden="false" customHeight="false" outlineLevel="0" collapsed="false">
      <c r="A157" s="22"/>
      <c r="B157" s="12"/>
      <c r="C157" s="12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customFormat="false" ht="15" hidden="false" customHeight="false" outlineLevel="0" collapsed="false">
      <c r="A158" s="22"/>
      <c r="B158" s="12"/>
      <c r="C158" s="12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customFormat="false" ht="15" hidden="false" customHeight="false" outlineLevel="0" collapsed="false">
      <c r="A159" s="22"/>
      <c r="B159" s="12"/>
      <c r="C159" s="12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customFormat="false" ht="15" hidden="false" customHeight="false" outlineLevel="0" collapsed="false">
      <c r="A160" s="22"/>
      <c r="B160" s="12"/>
      <c r="C160" s="12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customFormat="false" ht="15" hidden="false" customHeight="false" outlineLevel="0" collapsed="false">
      <c r="A161" s="22"/>
      <c r="B161" s="12"/>
      <c r="C161" s="12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customFormat="false" ht="15" hidden="false" customHeight="false" outlineLevel="0" collapsed="false">
      <c r="A162" s="22"/>
      <c r="B162" s="12"/>
      <c r="C162" s="12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customFormat="false" ht="15" hidden="false" customHeight="false" outlineLevel="0" collapsed="false">
      <c r="A163" s="22"/>
      <c r="B163" s="12"/>
      <c r="C163" s="12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customFormat="false" ht="15" hidden="false" customHeight="false" outlineLevel="0" collapsed="false">
      <c r="A164" s="22"/>
      <c r="B164" s="12"/>
      <c r="C164" s="12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customFormat="false" ht="15" hidden="false" customHeight="false" outlineLevel="0" collapsed="false">
      <c r="A165" s="22"/>
      <c r="B165" s="12"/>
      <c r="C165" s="12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customFormat="false" ht="15" hidden="false" customHeight="false" outlineLevel="0" collapsed="false">
      <c r="A166" s="22"/>
      <c r="B166" s="12"/>
      <c r="C166" s="12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customFormat="false" ht="15" hidden="false" customHeight="false" outlineLevel="0" collapsed="false">
      <c r="A167" s="22"/>
      <c r="B167" s="12"/>
      <c r="C167" s="12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customFormat="false" ht="15" hidden="false" customHeight="false" outlineLevel="0" collapsed="false">
      <c r="A168" s="22"/>
      <c r="B168" s="12"/>
      <c r="C168" s="12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customFormat="false" ht="15" hidden="false" customHeight="false" outlineLevel="0" collapsed="false">
      <c r="A169" s="22"/>
      <c r="B169" s="12"/>
      <c r="C169" s="12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customFormat="false" ht="15" hidden="false" customHeight="false" outlineLevel="0" collapsed="false">
      <c r="A170" s="22"/>
      <c r="B170" s="12"/>
      <c r="C170" s="12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customFormat="false" ht="15" hidden="false" customHeight="false" outlineLevel="0" collapsed="false">
      <c r="A171" s="22"/>
      <c r="B171" s="12"/>
      <c r="C171" s="12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customFormat="false" ht="15" hidden="false" customHeight="false" outlineLevel="0" collapsed="false">
      <c r="A172" s="22"/>
      <c r="B172" s="12"/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customFormat="false" ht="15" hidden="false" customHeight="false" outlineLevel="0" collapsed="false">
      <c r="A173" s="22"/>
      <c r="B173" s="12"/>
      <c r="C173" s="12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customFormat="false" ht="15" hidden="false" customHeight="false" outlineLevel="0" collapsed="false">
      <c r="A174" s="22"/>
      <c r="B174" s="12"/>
      <c r="C174" s="12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customFormat="false" ht="15" hidden="false" customHeight="false" outlineLevel="0" collapsed="false">
      <c r="A175" s="22"/>
      <c r="B175" s="12"/>
      <c r="C175" s="12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customFormat="false" ht="15" hidden="false" customHeight="false" outlineLevel="0" collapsed="false">
      <c r="A176" s="22"/>
      <c r="B176" s="12"/>
      <c r="C176" s="12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customFormat="false" ht="15" hidden="false" customHeight="false" outlineLevel="0" collapsed="false">
      <c r="A177" s="22"/>
      <c r="B177" s="12"/>
      <c r="C177" s="12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customFormat="false" ht="15" hidden="false" customHeight="false" outlineLevel="0" collapsed="false">
      <c r="A178" s="22"/>
      <c r="B178" s="12"/>
      <c r="C178" s="12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customFormat="false" ht="15" hidden="false" customHeight="false" outlineLevel="0" collapsed="false">
      <c r="A179" s="22"/>
      <c r="B179" s="12"/>
      <c r="C179" s="12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customFormat="false" ht="15" hidden="false" customHeight="false" outlineLevel="0" collapsed="false">
      <c r="A180" s="22"/>
      <c r="B180" s="12"/>
      <c r="C180" s="12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customFormat="false" ht="15" hidden="false" customHeight="false" outlineLevel="0" collapsed="false">
      <c r="A181" s="22"/>
      <c r="B181" s="12"/>
      <c r="C181" s="12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customFormat="false" ht="15" hidden="false" customHeight="false" outlineLevel="0" collapsed="false">
      <c r="A182" s="22"/>
      <c r="B182" s="12"/>
      <c r="C182" s="12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customFormat="false" ht="15" hidden="false" customHeight="false" outlineLevel="0" collapsed="false">
      <c r="A183" s="22"/>
      <c r="B183" s="12"/>
      <c r="C183" s="12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customFormat="false" ht="15" hidden="false" customHeight="false" outlineLevel="0" collapsed="false">
      <c r="A184" s="22"/>
      <c r="B184" s="12"/>
      <c r="C184" s="12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  <row r="185" customFormat="false" ht="15" hidden="false" customHeight="false" outlineLevel="0" collapsed="false">
      <c r="A185" s="22"/>
      <c r="B185" s="12"/>
      <c r="C185" s="12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customFormat="false" ht="15" hidden="false" customHeight="false" outlineLevel="0" collapsed="false">
      <c r="A186" s="22"/>
      <c r="B186" s="12"/>
      <c r="C186" s="12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customFormat="false" ht="15" hidden="false" customHeight="false" outlineLevel="0" collapsed="false">
      <c r="A187" s="22"/>
      <c r="B187" s="12"/>
      <c r="C187" s="12"/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customFormat="false" ht="15" hidden="false" customHeight="false" outlineLevel="0" collapsed="false">
      <c r="A188" s="22"/>
      <c r="B188" s="12"/>
      <c r="C188" s="12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customFormat="false" ht="15" hidden="false" customHeight="false" outlineLevel="0" collapsed="false">
      <c r="A189" s="22"/>
      <c r="B189" s="12"/>
      <c r="C189" s="12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customFormat="false" ht="15" hidden="false" customHeight="false" outlineLevel="0" collapsed="false">
      <c r="A190" s="22"/>
      <c r="B190" s="12"/>
      <c r="C190" s="12"/>
      <c r="D190" s="13"/>
      <c r="E190" s="13"/>
      <c r="F190" s="13"/>
      <c r="G190" s="13"/>
      <c r="H190" s="13"/>
      <c r="I190" s="13"/>
      <c r="J190" s="13"/>
      <c r="K190" s="13"/>
      <c r="L190" s="13"/>
      <c r="M190" s="13"/>
    </row>
    <row r="191" customFormat="false" ht="15" hidden="false" customHeight="false" outlineLevel="0" collapsed="false">
      <c r="A191" s="22"/>
      <c r="B191" s="12"/>
      <c r="C191" s="12"/>
      <c r="D191" s="13"/>
      <c r="E191" s="13"/>
      <c r="F191" s="13"/>
      <c r="G191" s="13"/>
      <c r="H191" s="13"/>
      <c r="I191" s="13"/>
      <c r="J191" s="13"/>
      <c r="K191" s="13"/>
      <c r="L191" s="13"/>
      <c r="M191" s="13"/>
    </row>
    <row r="192" customFormat="false" ht="15" hidden="false" customHeight="false" outlineLevel="0" collapsed="false">
      <c r="A192" s="22"/>
      <c r="B192" s="12"/>
      <c r="C192" s="12"/>
      <c r="D192" s="13"/>
      <c r="E192" s="13"/>
      <c r="F192" s="13"/>
      <c r="G192" s="13"/>
      <c r="H192" s="13"/>
      <c r="I192" s="13"/>
      <c r="J192" s="13"/>
      <c r="K192" s="13"/>
      <c r="L192" s="13"/>
      <c r="M192" s="13"/>
    </row>
    <row r="193" customFormat="false" ht="15" hidden="false" customHeight="false" outlineLevel="0" collapsed="false">
      <c r="A193" s="22"/>
      <c r="B193" s="12"/>
      <c r="C193" s="12"/>
      <c r="D193" s="13"/>
      <c r="E193" s="13"/>
      <c r="F193" s="13"/>
      <c r="G193" s="13"/>
      <c r="H193" s="13"/>
      <c r="I193" s="13"/>
      <c r="J193" s="13"/>
      <c r="K193" s="13"/>
      <c r="L193" s="13"/>
      <c r="M193" s="13"/>
    </row>
    <row r="194" customFormat="false" ht="15" hidden="false" customHeight="false" outlineLevel="0" collapsed="false">
      <c r="A194" s="22"/>
      <c r="B194" s="12"/>
      <c r="C194" s="12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customFormat="false" ht="15" hidden="false" customHeight="false" outlineLevel="0" collapsed="false">
      <c r="A195" s="22"/>
      <c r="B195" s="12"/>
      <c r="C195" s="12"/>
      <c r="D195" s="13"/>
      <c r="E195" s="13"/>
      <c r="F195" s="13"/>
      <c r="G195" s="13"/>
      <c r="H195" s="13"/>
      <c r="I195" s="13"/>
      <c r="J195" s="13"/>
      <c r="K195" s="13"/>
      <c r="L195" s="13"/>
      <c r="M195" s="13"/>
    </row>
    <row r="196" customFormat="false" ht="15" hidden="false" customHeight="false" outlineLevel="0" collapsed="false">
      <c r="A196" s="22"/>
      <c r="B196" s="12"/>
      <c r="C196" s="12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customFormat="false" ht="15" hidden="false" customHeight="false" outlineLevel="0" collapsed="false">
      <c r="A197" s="22"/>
      <c r="B197" s="12"/>
      <c r="C197" s="12"/>
      <c r="D197" s="13"/>
      <c r="E197" s="13"/>
      <c r="F197" s="13"/>
      <c r="G197" s="13"/>
      <c r="H197" s="13"/>
      <c r="I197" s="13"/>
      <c r="J197" s="13"/>
      <c r="K197" s="13"/>
      <c r="L197" s="13"/>
      <c r="M197" s="13"/>
    </row>
    <row r="198" customFormat="false" ht="15" hidden="false" customHeight="false" outlineLevel="0" collapsed="false">
      <c r="A198" s="22"/>
      <c r="B198" s="12"/>
      <c r="C198" s="12"/>
      <c r="D198" s="13"/>
      <c r="E198" s="13"/>
      <c r="F198" s="13"/>
      <c r="G198" s="13"/>
      <c r="H198" s="13"/>
      <c r="I198" s="13"/>
      <c r="J198" s="13"/>
      <c r="K198" s="13"/>
      <c r="L198" s="13"/>
      <c r="M198" s="13"/>
    </row>
    <row r="199" customFormat="false" ht="15" hidden="false" customHeight="false" outlineLevel="0" collapsed="false">
      <c r="A199" s="22"/>
      <c r="B199" s="12"/>
      <c r="C199" s="12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customFormat="false" ht="15" hidden="false" customHeight="false" outlineLevel="0" collapsed="false">
      <c r="A200" s="22"/>
      <c r="B200" s="12"/>
      <c r="C200" s="12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customFormat="false" ht="15" hidden="false" customHeight="false" outlineLevel="0" collapsed="false">
      <c r="A201" s="22"/>
      <c r="B201" s="12"/>
      <c r="C201" s="12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 customFormat="false" ht="15" hidden="false" customHeight="false" outlineLevel="0" collapsed="false">
      <c r="A202" s="22"/>
      <c r="B202" s="12"/>
      <c r="C202" s="12"/>
      <c r="D202" s="13"/>
      <c r="E202" s="13"/>
      <c r="F202" s="13"/>
      <c r="G202" s="13"/>
      <c r="H202" s="13"/>
      <c r="I202" s="13"/>
      <c r="J202" s="13"/>
      <c r="K202" s="13"/>
      <c r="L202" s="13"/>
      <c r="M202" s="13"/>
    </row>
    <row r="203" customFormat="false" ht="15" hidden="false" customHeight="false" outlineLevel="0" collapsed="false">
      <c r="A203" s="22"/>
      <c r="B203" s="12"/>
      <c r="C203" s="12"/>
      <c r="D203" s="13"/>
      <c r="E203" s="13"/>
      <c r="F203" s="13"/>
      <c r="G203" s="13"/>
      <c r="H203" s="13"/>
      <c r="I203" s="13"/>
      <c r="J203" s="13"/>
      <c r="K203" s="13"/>
      <c r="L203" s="13"/>
      <c r="M203" s="13"/>
    </row>
    <row r="204" customFormat="false" ht="15" hidden="false" customHeight="false" outlineLevel="0" collapsed="false">
      <c r="A204" s="22"/>
      <c r="B204" s="12"/>
      <c r="C204" s="12"/>
      <c r="D204" s="13"/>
      <c r="E204" s="13"/>
      <c r="F204" s="13"/>
      <c r="G204" s="13"/>
      <c r="H204" s="13"/>
      <c r="I204" s="13"/>
      <c r="J204" s="13"/>
      <c r="K204" s="13"/>
      <c r="L204" s="13"/>
      <c r="M204" s="13"/>
    </row>
    <row r="205" customFormat="false" ht="15" hidden="false" customHeight="false" outlineLevel="0" collapsed="false">
      <c r="A205" s="22"/>
      <c r="B205" s="12"/>
      <c r="C205" s="12"/>
      <c r="D205" s="13"/>
      <c r="E205" s="13"/>
      <c r="F205" s="13"/>
      <c r="G205" s="13"/>
      <c r="H205" s="13"/>
      <c r="I205" s="13"/>
      <c r="J205" s="13"/>
      <c r="K205" s="13"/>
      <c r="L205" s="13"/>
      <c r="M205" s="13"/>
    </row>
    <row r="206" customFormat="false" ht="15" hidden="false" customHeight="false" outlineLevel="0" collapsed="false">
      <c r="A206" s="22"/>
      <c r="B206" s="12"/>
      <c r="C206" s="12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customFormat="false" ht="15" hidden="false" customHeight="false" outlineLevel="0" collapsed="false">
      <c r="A207" s="22"/>
      <c r="B207" s="12"/>
      <c r="C207" s="12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customFormat="false" ht="15" hidden="false" customHeight="false" outlineLevel="0" collapsed="false">
      <c r="A208" s="22"/>
      <c r="B208" s="12"/>
      <c r="C208" s="12"/>
      <c r="D208" s="13"/>
      <c r="E208" s="13"/>
      <c r="F208" s="13"/>
      <c r="G208" s="13"/>
      <c r="H208" s="13"/>
      <c r="I208" s="13"/>
      <c r="J208" s="13"/>
      <c r="K208" s="13"/>
      <c r="L208" s="13"/>
      <c r="M208" s="13"/>
    </row>
    <row r="209" customFormat="false" ht="15" hidden="false" customHeight="false" outlineLevel="0" collapsed="false">
      <c r="A209" s="22"/>
      <c r="B209" s="12"/>
      <c r="C209" s="12"/>
      <c r="D209" s="13"/>
      <c r="E209" s="13"/>
      <c r="F209" s="13"/>
      <c r="G209" s="13"/>
      <c r="H209" s="13"/>
      <c r="I209" s="13"/>
      <c r="J209" s="13"/>
      <c r="K209" s="13"/>
      <c r="L209" s="13"/>
      <c r="M209" s="13"/>
    </row>
    <row r="210" customFormat="false" ht="15" hidden="false" customHeight="false" outlineLevel="0" collapsed="false">
      <c r="A210" s="22"/>
      <c r="B210" s="12"/>
      <c r="C210" s="12"/>
      <c r="D210" s="13"/>
      <c r="E210" s="13"/>
      <c r="F210" s="13"/>
      <c r="G210" s="13"/>
      <c r="H210" s="13"/>
      <c r="I210" s="13"/>
      <c r="J210" s="13"/>
      <c r="K210" s="13"/>
      <c r="L210" s="13"/>
      <c r="M210" s="13"/>
    </row>
    <row r="211" customFormat="false" ht="15" hidden="false" customHeight="false" outlineLevel="0" collapsed="false">
      <c r="A211" s="22"/>
      <c r="B211" s="12"/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</row>
    <row r="212" customFormat="false" ht="15" hidden="false" customHeight="false" outlineLevel="0" collapsed="false">
      <c r="A212" s="22"/>
      <c r="B212" s="12"/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customFormat="false" ht="15" hidden="false" customHeight="false" outlineLevel="0" collapsed="false">
      <c r="A213" s="22"/>
      <c r="B213" s="12"/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</row>
    <row r="214" customFormat="false" ht="15" hidden="false" customHeight="false" outlineLevel="0" collapsed="false">
      <c r="A214" s="22"/>
      <c r="B214" s="12"/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</row>
    <row r="215" customFormat="false" ht="15" hidden="false" customHeight="false" outlineLevel="0" collapsed="false">
      <c r="A215" s="22"/>
      <c r="B215" s="12"/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</row>
    <row r="216" customFormat="false" ht="15" hidden="false" customHeight="false" outlineLevel="0" collapsed="false">
      <c r="A216" s="22"/>
      <c r="B216" s="12"/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</row>
    <row r="217" customFormat="false" ht="15" hidden="false" customHeight="false" outlineLevel="0" collapsed="false">
      <c r="A217" s="22"/>
      <c r="B217" s="12"/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</row>
    <row r="218" customFormat="false" ht="15" hidden="false" customHeight="false" outlineLevel="0" collapsed="false">
      <c r="A218" s="22"/>
      <c r="B218" s="12"/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customFormat="false" ht="15" hidden="false" customHeight="false" outlineLevel="0" collapsed="false">
      <c r="A219" s="22"/>
      <c r="B219" s="12"/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</row>
    <row r="220" customFormat="false" ht="15" hidden="false" customHeight="false" outlineLevel="0" collapsed="false">
      <c r="A220" s="22"/>
      <c r="B220" s="12"/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</row>
    <row r="221" customFormat="false" ht="15" hidden="false" customHeight="false" outlineLevel="0" collapsed="false">
      <c r="A221" s="22"/>
      <c r="B221" s="12"/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</row>
    <row r="222" customFormat="false" ht="15" hidden="false" customHeight="false" outlineLevel="0" collapsed="false">
      <c r="A222" s="22"/>
      <c r="B222" s="12"/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</row>
    <row r="223" customFormat="false" ht="15" hidden="false" customHeight="false" outlineLevel="0" collapsed="false">
      <c r="A223" s="22"/>
      <c r="B223" s="12"/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</row>
    <row r="224" customFormat="false" ht="15" hidden="false" customHeight="false" outlineLevel="0" collapsed="false">
      <c r="A224" s="22"/>
      <c r="B224" s="12"/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customFormat="false" ht="15" hidden="false" customHeight="false" outlineLevel="0" collapsed="false">
      <c r="A225" s="22"/>
      <c r="B225" s="12"/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</row>
    <row r="226" customFormat="false" ht="15" hidden="false" customHeight="false" outlineLevel="0" collapsed="false">
      <c r="A226" s="22"/>
      <c r="B226" s="12"/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</row>
    <row r="227" customFormat="false" ht="15" hidden="false" customHeight="false" outlineLevel="0" collapsed="false">
      <c r="A227" s="22"/>
      <c r="B227" s="12"/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</row>
    <row r="228" customFormat="false" ht="15" hidden="false" customHeight="false" outlineLevel="0" collapsed="false">
      <c r="A228" s="22"/>
      <c r="B228" s="12"/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</row>
    <row r="229" customFormat="false" ht="15" hidden="false" customHeight="false" outlineLevel="0" collapsed="false">
      <c r="A229" s="22"/>
      <c r="B229" s="12"/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</row>
    <row r="230" customFormat="false" ht="15" hidden="false" customHeight="false" outlineLevel="0" collapsed="false">
      <c r="A230" s="22"/>
      <c r="B230" s="12"/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customFormat="false" ht="15" hidden="false" customHeight="false" outlineLevel="0" collapsed="false">
      <c r="A231" s="22"/>
      <c r="B231" s="12"/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</row>
    <row r="232" customFormat="false" ht="15" hidden="false" customHeight="false" outlineLevel="0" collapsed="false">
      <c r="A232" s="22"/>
      <c r="B232" s="12"/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</row>
    <row r="233" customFormat="false" ht="15" hidden="false" customHeight="false" outlineLevel="0" collapsed="false">
      <c r="A233" s="22"/>
      <c r="B233" s="12"/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</row>
    <row r="234" customFormat="false" ht="15" hidden="false" customHeight="false" outlineLevel="0" collapsed="false">
      <c r="A234" s="22"/>
      <c r="B234" s="12"/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</row>
    <row r="235" customFormat="false" ht="15" hidden="false" customHeight="false" outlineLevel="0" collapsed="false">
      <c r="A235" s="22"/>
      <c r="B235" s="12"/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</row>
    <row r="236" customFormat="false" ht="15" hidden="false" customHeight="false" outlineLevel="0" collapsed="false">
      <c r="A236" s="22"/>
      <c r="B236" s="12"/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customFormat="false" ht="15" hidden="false" customHeight="false" outlineLevel="0" collapsed="false">
      <c r="A237" s="22"/>
      <c r="B237" s="12"/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</row>
    <row r="238" customFormat="false" ht="15" hidden="false" customHeight="false" outlineLevel="0" collapsed="false">
      <c r="A238" s="22"/>
      <c r="B238" s="12"/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</row>
    <row r="239" customFormat="false" ht="15" hidden="false" customHeight="false" outlineLevel="0" collapsed="false">
      <c r="A239" s="22"/>
      <c r="B239" s="12"/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</row>
    <row r="240" customFormat="false" ht="15" hidden="false" customHeight="false" outlineLevel="0" collapsed="false">
      <c r="A240" s="22"/>
      <c r="B240" s="12"/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</row>
    <row r="241" customFormat="false" ht="15" hidden="false" customHeight="false" outlineLevel="0" collapsed="false">
      <c r="A241" s="22"/>
      <c r="B241" s="12"/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</row>
    <row r="242" customFormat="false" ht="15" hidden="false" customHeight="false" outlineLevel="0" collapsed="false">
      <c r="A242" s="22"/>
      <c r="B242" s="12"/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customFormat="false" ht="15" hidden="false" customHeight="false" outlineLevel="0" collapsed="false">
      <c r="A243" s="22"/>
      <c r="B243" s="12"/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</row>
    <row r="244" customFormat="false" ht="15" hidden="false" customHeight="false" outlineLevel="0" collapsed="false">
      <c r="A244" s="22"/>
      <c r="B244" s="12"/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</row>
    <row r="245" customFormat="false" ht="15" hidden="false" customHeight="false" outlineLevel="0" collapsed="false">
      <c r="A245" s="22"/>
      <c r="B245" s="12"/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</row>
    <row r="246" customFormat="false" ht="15" hidden="false" customHeight="false" outlineLevel="0" collapsed="false">
      <c r="A246" s="22"/>
      <c r="B246" s="12"/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</row>
    <row r="247" customFormat="false" ht="15" hidden="false" customHeight="false" outlineLevel="0" collapsed="false">
      <c r="A247" s="22"/>
      <c r="B247" s="12"/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</row>
    <row r="248" customFormat="false" ht="15" hidden="false" customHeight="false" outlineLevel="0" collapsed="false">
      <c r="A248" s="22"/>
      <c r="B248" s="12"/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customFormat="false" ht="15" hidden="false" customHeight="false" outlineLevel="0" collapsed="false">
      <c r="A249" s="22"/>
      <c r="B249" s="12"/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</row>
    <row r="250" customFormat="false" ht="15" hidden="false" customHeight="false" outlineLevel="0" collapsed="false">
      <c r="A250" s="22"/>
      <c r="B250" s="12"/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</row>
  </sheetData>
  <mergeCells count="1">
    <mergeCell ref="A1:M1"/>
  </mergeCells>
  <dataValidations count="2">
    <dataValidation allowBlank="true" errorStyle="stop" operator="between" showDropDown="false" showErrorMessage="false" showInputMessage="false" sqref="B3:B250" type="list">
      <formula1>'14_Equipa'!$A$3:$A$5</formula1>
      <formula2>0</formula2>
    </dataValidation>
    <dataValidation allowBlank="true" errorStyle="stop" operator="between" showDropDown="false" showErrorMessage="false" showInputMessage="false" sqref="C3:C250" type="list">
      <formula1>'14_Equipa'!$B$3:$B$5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10" min="8" style="0" width="14"/>
    <col collapsed="false" customWidth="true" hidden="false" outlineLevel="0" max="11" min="11" style="0" width="18"/>
    <col collapsed="false" customWidth="true" hidden="false" outlineLevel="0" max="12" min="12" style="0" width="30"/>
  </cols>
  <sheetData>
    <row r="1" customFormat="false" ht="37.5" hidden="false" customHeight="true" outlineLevel="0" collapsed="false">
      <c r="A1" s="21" t="s">
        <v>57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27.75" hidden="false" customHeight="true" outlineLevel="0" collapsed="false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 t="s">
        <v>18</v>
      </c>
      <c r="G2" s="11" t="s">
        <v>63</v>
      </c>
      <c r="H2" s="11" t="s">
        <v>64</v>
      </c>
      <c r="I2" s="11" t="s">
        <v>65</v>
      </c>
      <c r="J2" s="11" t="s">
        <v>66</v>
      </c>
      <c r="K2" s="11" t="s">
        <v>67</v>
      </c>
      <c r="L2" s="11" t="s">
        <v>56</v>
      </c>
    </row>
    <row r="3" customFormat="false" ht="15" hidden="false" customHeight="false" outlineLevel="0" collapsed="false">
      <c r="A3" s="12"/>
      <c r="B3" s="12"/>
      <c r="C3" s="12"/>
      <c r="D3" s="12"/>
      <c r="E3" s="23"/>
      <c r="F3" s="13"/>
      <c r="G3" s="23"/>
      <c r="H3" s="13"/>
      <c r="I3" s="15" t="str">
        <f aca="false">IF(AND(ISNUMBER(E3),ISNUMBER(G3)),(G3-E3)*1440,"")</f>
        <v/>
      </c>
      <c r="J3" s="13" t="str">
        <f aca="false">IF(E3="","",IF(ISNUMBER(I3),IF(I3&lt;=60,"OK","VIOLADO"),"Sem contacto"))</f>
        <v/>
      </c>
      <c r="K3" s="13"/>
      <c r="L3" s="13"/>
    </row>
    <row r="4" customFormat="false" ht="15" hidden="false" customHeight="false" outlineLevel="0" collapsed="false">
      <c r="A4" s="12"/>
      <c r="B4" s="12"/>
      <c r="C4" s="12"/>
      <c r="D4" s="12"/>
      <c r="E4" s="23"/>
      <c r="F4" s="13"/>
      <c r="G4" s="23"/>
      <c r="H4" s="13"/>
      <c r="I4" s="15" t="str">
        <f aca="false">IF(AND(ISNUMBER(E4),ISNUMBER(G4)),(G4-E4)*1440,"")</f>
        <v/>
      </c>
      <c r="J4" s="13" t="str">
        <f aca="false">IF(E4="","",IF(ISNUMBER(I4),IF(I4&lt;=60,"OK","VIOLADO"),"Sem contacto"))</f>
        <v/>
      </c>
      <c r="K4" s="13"/>
      <c r="L4" s="13"/>
    </row>
    <row r="5" customFormat="false" ht="15" hidden="false" customHeight="false" outlineLevel="0" collapsed="false">
      <c r="A5" s="12"/>
      <c r="B5" s="12"/>
      <c r="C5" s="12"/>
      <c r="D5" s="12"/>
      <c r="E5" s="23"/>
      <c r="F5" s="13"/>
      <c r="G5" s="23"/>
      <c r="H5" s="13"/>
      <c r="I5" s="15" t="str">
        <f aca="false">IF(AND(ISNUMBER(E5),ISNUMBER(G5)),(G5-E5)*1440,"")</f>
        <v/>
      </c>
      <c r="J5" s="13" t="str">
        <f aca="false">IF(E5="","",IF(ISNUMBER(I5),IF(I5&lt;=60,"OK","VIOLADO"),"Sem contacto"))</f>
        <v/>
      </c>
      <c r="K5" s="13"/>
      <c r="L5" s="13"/>
    </row>
    <row r="6" customFormat="false" ht="15" hidden="false" customHeight="false" outlineLevel="0" collapsed="false">
      <c r="A6" s="12"/>
      <c r="B6" s="12"/>
      <c r="C6" s="12"/>
      <c r="D6" s="12"/>
      <c r="E6" s="23"/>
      <c r="F6" s="13"/>
      <c r="G6" s="23"/>
      <c r="H6" s="13"/>
      <c r="I6" s="15" t="str">
        <f aca="false">IF(AND(ISNUMBER(E6),ISNUMBER(G6)),(G6-E6)*1440,"")</f>
        <v/>
      </c>
      <c r="J6" s="13" t="str">
        <f aca="false">IF(E6="","",IF(ISNUMBER(I6),IF(I6&lt;=60,"OK","VIOLADO"),"Sem contacto"))</f>
        <v/>
      </c>
      <c r="K6" s="13"/>
      <c r="L6" s="13"/>
    </row>
    <row r="7" customFormat="false" ht="15" hidden="false" customHeight="false" outlineLevel="0" collapsed="false">
      <c r="A7" s="12"/>
      <c r="B7" s="12"/>
      <c r="C7" s="12"/>
      <c r="D7" s="12"/>
      <c r="E7" s="23"/>
      <c r="F7" s="13"/>
      <c r="G7" s="23"/>
      <c r="H7" s="13"/>
      <c r="I7" s="15" t="str">
        <f aca="false">IF(AND(ISNUMBER(E7),ISNUMBER(G7)),(G7-E7)*1440,"")</f>
        <v/>
      </c>
      <c r="J7" s="13" t="str">
        <f aca="false">IF(E7="","",IF(ISNUMBER(I7),IF(I7&lt;=60,"OK","VIOLADO"),"Sem contacto"))</f>
        <v/>
      </c>
      <c r="K7" s="13"/>
      <c r="L7" s="13"/>
    </row>
    <row r="8" customFormat="false" ht="15" hidden="false" customHeight="false" outlineLevel="0" collapsed="false">
      <c r="A8" s="12"/>
      <c r="B8" s="12"/>
      <c r="C8" s="12"/>
      <c r="D8" s="12"/>
      <c r="E8" s="23"/>
      <c r="F8" s="13"/>
      <c r="G8" s="23"/>
      <c r="H8" s="13"/>
      <c r="I8" s="15" t="str">
        <f aca="false">IF(AND(ISNUMBER(E8),ISNUMBER(G8)),(G8-E8)*1440,"")</f>
        <v/>
      </c>
      <c r="J8" s="13" t="str">
        <f aca="false">IF(E8="","",IF(ISNUMBER(I8),IF(I8&lt;=60,"OK","VIOLADO"),"Sem contacto"))</f>
        <v/>
      </c>
      <c r="K8" s="13"/>
      <c r="L8" s="13"/>
    </row>
    <row r="9" customFormat="false" ht="15" hidden="false" customHeight="false" outlineLevel="0" collapsed="false">
      <c r="A9" s="12"/>
      <c r="B9" s="12"/>
      <c r="C9" s="12"/>
      <c r="D9" s="12"/>
      <c r="E9" s="23"/>
      <c r="F9" s="13"/>
      <c r="G9" s="23"/>
      <c r="H9" s="13"/>
      <c r="I9" s="15" t="str">
        <f aca="false">IF(AND(ISNUMBER(E9),ISNUMBER(G9)),(G9-E9)*1440,"")</f>
        <v/>
      </c>
      <c r="J9" s="13" t="str">
        <f aca="false">IF(E9="","",IF(ISNUMBER(I9),IF(I9&lt;=60,"OK","VIOLADO"),"Sem contacto"))</f>
        <v/>
      </c>
      <c r="K9" s="13"/>
      <c r="L9" s="13"/>
    </row>
    <row r="10" customFormat="false" ht="15" hidden="false" customHeight="false" outlineLevel="0" collapsed="false">
      <c r="A10" s="12"/>
      <c r="B10" s="12"/>
      <c r="C10" s="12"/>
      <c r="D10" s="12"/>
      <c r="E10" s="23"/>
      <c r="F10" s="13"/>
      <c r="G10" s="23"/>
      <c r="H10" s="13"/>
      <c r="I10" s="15" t="str">
        <f aca="false">IF(AND(ISNUMBER(E10),ISNUMBER(G10)),(G10-E10)*1440,"")</f>
        <v/>
      </c>
      <c r="J10" s="13" t="str">
        <f aca="false">IF(E10="","",IF(ISNUMBER(I10),IF(I10&lt;=60,"OK","VIOLADO"),"Sem contacto"))</f>
        <v/>
      </c>
      <c r="K10" s="13"/>
      <c r="L10" s="13"/>
    </row>
    <row r="11" customFormat="false" ht="15" hidden="false" customHeight="false" outlineLevel="0" collapsed="false">
      <c r="A11" s="12"/>
      <c r="B11" s="12"/>
      <c r="C11" s="12"/>
      <c r="D11" s="12"/>
      <c r="E11" s="23"/>
      <c r="F11" s="13"/>
      <c r="G11" s="23"/>
      <c r="H11" s="13"/>
      <c r="I11" s="15" t="str">
        <f aca="false">IF(AND(ISNUMBER(E11),ISNUMBER(G11)),(G11-E11)*1440,"")</f>
        <v/>
      </c>
      <c r="J11" s="13" t="str">
        <f aca="false">IF(E11="","",IF(ISNUMBER(I11),IF(I11&lt;=60,"OK","VIOLADO"),"Sem contacto"))</f>
        <v/>
      </c>
      <c r="K11" s="13"/>
      <c r="L11" s="13"/>
    </row>
    <row r="12" customFormat="false" ht="15" hidden="false" customHeight="false" outlineLevel="0" collapsed="false">
      <c r="A12" s="12"/>
      <c r="B12" s="12"/>
      <c r="C12" s="12"/>
      <c r="D12" s="12"/>
      <c r="E12" s="23"/>
      <c r="F12" s="13"/>
      <c r="G12" s="23"/>
      <c r="H12" s="13"/>
      <c r="I12" s="15" t="str">
        <f aca="false">IF(AND(ISNUMBER(E12),ISNUMBER(G12)),(G12-E12)*1440,"")</f>
        <v/>
      </c>
      <c r="J12" s="13" t="str">
        <f aca="false">IF(E12="","",IF(ISNUMBER(I12),IF(I12&lt;=60,"OK","VIOLADO"),"Sem contacto"))</f>
        <v/>
      </c>
      <c r="K12" s="13"/>
      <c r="L12" s="13"/>
    </row>
    <row r="13" customFormat="false" ht="15" hidden="false" customHeight="false" outlineLevel="0" collapsed="false">
      <c r="A13" s="12"/>
      <c r="B13" s="12"/>
      <c r="C13" s="12"/>
      <c r="D13" s="12"/>
      <c r="E13" s="23"/>
      <c r="F13" s="13"/>
      <c r="G13" s="23"/>
      <c r="H13" s="13"/>
      <c r="I13" s="15" t="str">
        <f aca="false">IF(AND(ISNUMBER(E13),ISNUMBER(G13)),(G13-E13)*1440,"")</f>
        <v/>
      </c>
      <c r="J13" s="13" t="str">
        <f aca="false">IF(E13="","",IF(ISNUMBER(I13),IF(I13&lt;=60,"OK","VIOLADO"),"Sem contacto"))</f>
        <v/>
      </c>
      <c r="K13" s="13"/>
      <c r="L13" s="13"/>
    </row>
    <row r="14" customFormat="false" ht="15" hidden="false" customHeight="false" outlineLevel="0" collapsed="false">
      <c r="A14" s="12"/>
      <c r="B14" s="12"/>
      <c r="C14" s="12"/>
      <c r="D14" s="12"/>
      <c r="E14" s="23"/>
      <c r="F14" s="13"/>
      <c r="G14" s="23"/>
      <c r="H14" s="13"/>
      <c r="I14" s="15" t="str">
        <f aca="false">IF(AND(ISNUMBER(E14),ISNUMBER(G14)),(G14-E14)*1440,"")</f>
        <v/>
      </c>
      <c r="J14" s="13" t="str">
        <f aca="false">IF(E14="","",IF(ISNUMBER(I14),IF(I14&lt;=60,"OK","VIOLADO"),"Sem contacto"))</f>
        <v/>
      </c>
      <c r="K14" s="13"/>
      <c r="L14" s="13"/>
    </row>
    <row r="15" customFormat="false" ht="15" hidden="false" customHeight="false" outlineLevel="0" collapsed="false">
      <c r="A15" s="12"/>
      <c r="B15" s="12"/>
      <c r="C15" s="12"/>
      <c r="D15" s="12"/>
      <c r="E15" s="23"/>
      <c r="F15" s="13"/>
      <c r="G15" s="23"/>
      <c r="H15" s="13"/>
      <c r="I15" s="15" t="str">
        <f aca="false">IF(AND(ISNUMBER(E15),ISNUMBER(G15)),(G15-E15)*1440,"")</f>
        <v/>
      </c>
      <c r="J15" s="13" t="str">
        <f aca="false">IF(E15="","",IF(ISNUMBER(I15),IF(I15&lt;=60,"OK","VIOLADO"),"Sem contacto"))</f>
        <v/>
      </c>
      <c r="K15" s="13"/>
      <c r="L15" s="13"/>
    </row>
    <row r="16" customFormat="false" ht="15" hidden="false" customHeight="false" outlineLevel="0" collapsed="false">
      <c r="A16" s="12"/>
      <c r="B16" s="12"/>
      <c r="C16" s="12"/>
      <c r="D16" s="12"/>
      <c r="E16" s="23"/>
      <c r="F16" s="13"/>
      <c r="G16" s="23"/>
      <c r="H16" s="13"/>
      <c r="I16" s="15" t="str">
        <f aca="false">IF(AND(ISNUMBER(E16),ISNUMBER(G16)),(G16-E16)*1440,"")</f>
        <v/>
      </c>
      <c r="J16" s="13" t="str">
        <f aca="false">IF(E16="","",IF(ISNUMBER(I16),IF(I16&lt;=60,"OK","VIOLADO"),"Sem contacto"))</f>
        <v/>
      </c>
      <c r="K16" s="13"/>
      <c r="L16" s="13"/>
    </row>
    <row r="17" customFormat="false" ht="15" hidden="false" customHeight="false" outlineLevel="0" collapsed="false">
      <c r="A17" s="12"/>
      <c r="B17" s="12"/>
      <c r="C17" s="12"/>
      <c r="D17" s="12"/>
      <c r="E17" s="23"/>
      <c r="F17" s="13"/>
      <c r="G17" s="23"/>
      <c r="H17" s="13"/>
      <c r="I17" s="15" t="str">
        <f aca="false">IF(AND(ISNUMBER(E17),ISNUMBER(G17)),(G17-E17)*1440,"")</f>
        <v/>
      </c>
      <c r="J17" s="13" t="str">
        <f aca="false">IF(E17="","",IF(ISNUMBER(I17),IF(I17&lt;=60,"OK","VIOLADO"),"Sem contacto"))</f>
        <v/>
      </c>
      <c r="K17" s="13"/>
      <c r="L17" s="13"/>
    </row>
    <row r="18" customFormat="false" ht="15" hidden="false" customHeight="false" outlineLevel="0" collapsed="false">
      <c r="A18" s="12"/>
      <c r="B18" s="12"/>
      <c r="C18" s="12"/>
      <c r="D18" s="12"/>
      <c r="E18" s="23"/>
      <c r="F18" s="13"/>
      <c r="G18" s="23"/>
      <c r="H18" s="13"/>
      <c r="I18" s="15" t="str">
        <f aca="false">IF(AND(ISNUMBER(E18),ISNUMBER(G18)),(G18-E18)*1440,"")</f>
        <v/>
      </c>
      <c r="J18" s="13" t="str">
        <f aca="false">IF(E18="","",IF(ISNUMBER(I18),IF(I18&lt;=60,"OK","VIOLADO"),"Sem contacto"))</f>
        <v/>
      </c>
      <c r="K18" s="13"/>
      <c r="L18" s="13"/>
    </row>
    <row r="19" customFormat="false" ht="15" hidden="false" customHeight="false" outlineLevel="0" collapsed="false">
      <c r="A19" s="12"/>
      <c r="B19" s="12"/>
      <c r="C19" s="12"/>
      <c r="D19" s="12"/>
      <c r="E19" s="23"/>
      <c r="F19" s="13"/>
      <c r="G19" s="23"/>
      <c r="H19" s="13"/>
      <c r="I19" s="15" t="str">
        <f aca="false">IF(AND(ISNUMBER(E19),ISNUMBER(G19)),(G19-E19)*1440,"")</f>
        <v/>
      </c>
      <c r="J19" s="13" t="str">
        <f aca="false">IF(E19="","",IF(ISNUMBER(I19),IF(I19&lt;=60,"OK","VIOLADO"),"Sem contacto"))</f>
        <v/>
      </c>
      <c r="K19" s="13"/>
      <c r="L19" s="13"/>
    </row>
    <row r="20" customFormat="false" ht="15" hidden="false" customHeight="false" outlineLevel="0" collapsed="false">
      <c r="A20" s="12"/>
      <c r="B20" s="12"/>
      <c r="C20" s="12"/>
      <c r="D20" s="12"/>
      <c r="E20" s="23"/>
      <c r="F20" s="13"/>
      <c r="G20" s="23"/>
      <c r="H20" s="13"/>
      <c r="I20" s="15" t="str">
        <f aca="false">IF(AND(ISNUMBER(E20),ISNUMBER(G20)),(G20-E20)*1440,"")</f>
        <v/>
      </c>
      <c r="J20" s="13" t="str">
        <f aca="false">IF(E20="","",IF(ISNUMBER(I20),IF(I20&lt;=60,"OK","VIOLADO"),"Sem contacto"))</f>
        <v/>
      </c>
      <c r="K20" s="13"/>
      <c r="L20" s="13"/>
    </row>
    <row r="21" customFormat="false" ht="15" hidden="false" customHeight="false" outlineLevel="0" collapsed="false">
      <c r="A21" s="12"/>
      <c r="B21" s="12"/>
      <c r="C21" s="12"/>
      <c r="D21" s="12"/>
      <c r="E21" s="23"/>
      <c r="F21" s="13"/>
      <c r="G21" s="23"/>
      <c r="H21" s="13"/>
      <c r="I21" s="15" t="str">
        <f aca="false">IF(AND(ISNUMBER(E21),ISNUMBER(G21)),(G21-E21)*1440,"")</f>
        <v/>
      </c>
      <c r="J21" s="13" t="str">
        <f aca="false">IF(E21="","",IF(ISNUMBER(I21),IF(I21&lt;=60,"OK","VIOLADO"),"Sem contacto"))</f>
        <v/>
      </c>
      <c r="K21" s="13"/>
      <c r="L21" s="13"/>
    </row>
    <row r="22" customFormat="false" ht="15" hidden="false" customHeight="false" outlineLevel="0" collapsed="false">
      <c r="A22" s="12"/>
      <c r="B22" s="12"/>
      <c r="C22" s="12"/>
      <c r="D22" s="12"/>
      <c r="E22" s="23"/>
      <c r="F22" s="13"/>
      <c r="G22" s="23"/>
      <c r="H22" s="13"/>
      <c r="I22" s="15" t="str">
        <f aca="false">IF(AND(ISNUMBER(E22),ISNUMBER(G22)),(G22-E22)*1440,"")</f>
        <v/>
      </c>
      <c r="J22" s="13" t="str">
        <f aca="false">IF(E22="","",IF(ISNUMBER(I22),IF(I22&lt;=60,"OK","VIOLADO"),"Sem contacto"))</f>
        <v/>
      </c>
      <c r="K22" s="13"/>
      <c r="L22" s="13"/>
    </row>
    <row r="23" customFormat="false" ht="15" hidden="false" customHeight="false" outlineLevel="0" collapsed="false">
      <c r="A23" s="12"/>
      <c r="B23" s="12"/>
      <c r="C23" s="12"/>
      <c r="D23" s="12"/>
      <c r="E23" s="23"/>
      <c r="F23" s="13"/>
      <c r="G23" s="23"/>
      <c r="H23" s="13"/>
      <c r="I23" s="15" t="str">
        <f aca="false">IF(AND(ISNUMBER(E23),ISNUMBER(G23)),(G23-E23)*1440,"")</f>
        <v/>
      </c>
      <c r="J23" s="13" t="str">
        <f aca="false">IF(E23="","",IF(ISNUMBER(I23),IF(I23&lt;=60,"OK","VIOLADO"),"Sem contacto"))</f>
        <v/>
      </c>
      <c r="K23" s="13"/>
      <c r="L23" s="13"/>
    </row>
    <row r="24" customFormat="false" ht="15" hidden="false" customHeight="false" outlineLevel="0" collapsed="false">
      <c r="A24" s="12"/>
      <c r="B24" s="12"/>
      <c r="C24" s="12"/>
      <c r="D24" s="12"/>
      <c r="E24" s="23"/>
      <c r="F24" s="13"/>
      <c r="G24" s="23"/>
      <c r="H24" s="13"/>
      <c r="I24" s="15" t="str">
        <f aca="false">IF(AND(ISNUMBER(E24),ISNUMBER(G24)),(G24-E24)*1440,"")</f>
        <v/>
      </c>
      <c r="J24" s="13" t="str">
        <f aca="false">IF(E24="","",IF(ISNUMBER(I24),IF(I24&lt;=60,"OK","VIOLADO"),"Sem contacto"))</f>
        <v/>
      </c>
      <c r="K24" s="13"/>
      <c r="L24" s="13"/>
    </row>
    <row r="25" customFormat="false" ht="15" hidden="false" customHeight="false" outlineLevel="0" collapsed="false">
      <c r="A25" s="12"/>
      <c r="B25" s="12"/>
      <c r="C25" s="12"/>
      <c r="D25" s="12"/>
      <c r="E25" s="23"/>
      <c r="F25" s="13"/>
      <c r="G25" s="23"/>
      <c r="H25" s="13"/>
      <c r="I25" s="15" t="str">
        <f aca="false">IF(AND(ISNUMBER(E25),ISNUMBER(G25)),(G25-E25)*1440,"")</f>
        <v/>
      </c>
      <c r="J25" s="13" t="str">
        <f aca="false">IF(E25="","",IF(ISNUMBER(I25),IF(I25&lt;=60,"OK","VIOLADO"),"Sem contacto"))</f>
        <v/>
      </c>
      <c r="K25" s="13"/>
      <c r="L25" s="13"/>
    </row>
    <row r="26" customFormat="false" ht="15" hidden="false" customHeight="false" outlineLevel="0" collapsed="false">
      <c r="A26" s="12"/>
      <c r="B26" s="12"/>
      <c r="C26" s="12"/>
      <c r="D26" s="12"/>
      <c r="E26" s="23"/>
      <c r="F26" s="13"/>
      <c r="G26" s="23"/>
      <c r="H26" s="13"/>
      <c r="I26" s="15" t="str">
        <f aca="false">IF(AND(ISNUMBER(E26),ISNUMBER(G26)),(G26-E26)*1440,"")</f>
        <v/>
      </c>
      <c r="J26" s="13" t="str">
        <f aca="false">IF(E26="","",IF(ISNUMBER(I26),IF(I26&lt;=60,"OK","VIOLADO"),"Sem contacto"))</f>
        <v/>
      </c>
      <c r="K26" s="13"/>
      <c r="L26" s="13"/>
    </row>
    <row r="27" customFormat="false" ht="15" hidden="false" customHeight="false" outlineLevel="0" collapsed="false">
      <c r="A27" s="12"/>
      <c r="B27" s="12"/>
      <c r="C27" s="12"/>
      <c r="D27" s="12"/>
      <c r="E27" s="23"/>
      <c r="F27" s="13"/>
      <c r="G27" s="23"/>
      <c r="H27" s="13"/>
      <c r="I27" s="15" t="str">
        <f aca="false">IF(AND(ISNUMBER(E27),ISNUMBER(G27)),(G27-E27)*1440,"")</f>
        <v/>
      </c>
      <c r="J27" s="13" t="str">
        <f aca="false">IF(E27="","",IF(ISNUMBER(I27),IF(I27&lt;=60,"OK","VIOLADO"),"Sem contacto"))</f>
        <v/>
      </c>
      <c r="K27" s="13"/>
      <c r="L27" s="13"/>
    </row>
    <row r="28" customFormat="false" ht="15" hidden="false" customHeight="false" outlineLevel="0" collapsed="false">
      <c r="A28" s="12"/>
      <c r="B28" s="12"/>
      <c r="C28" s="12"/>
      <c r="D28" s="12"/>
      <c r="E28" s="23"/>
      <c r="F28" s="13"/>
      <c r="G28" s="23"/>
      <c r="H28" s="13"/>
      <c r="I28" s="15" t="str">
        <f aca="false">IF(AND(ISNUMBER(E28),ISNUMBER(G28)),(G28-E28)*1440,"")</f>
        <v/>
      </c>
      <c r="J28" s="13" t="str">
        <f aca="false">IF(E28="","",IF(ISNUMBER(I28),IF(I28&lt;=60,"OK","VIOLADO"),"Sem contacto"))</f>
        <v/>
      </c>
      <c r="K28" s="13"/>
      <c r="L28" s="13"/>
    </row>
    <row r="29" customFormat="false" ht="15" hidden="false" customHeight="false" outlineLevel="0" collapsed="false">
      <c r="A29" s="12"/>
      <c r="B29" s="12"/>
      <c r="C29" s="12"/>
      <c r="D29" s="12"/>
      <c r="E29" s="23"/>
      <c r="F29" s="13"/>
      <c r="G29" s="23"/>
      <c r="H29" s="13"/>
      <c r="I29" s="15" t="str">
        <f aca="false">IF(AND(ISNUMBER(E29),ISNUMBER(G29)),(G29-E29)*1440,"")</f>
        <v/>
      </c>
      <c r="J29" s="13" t="str">
        <f aca="false">IF(E29="","",IF(ISNUMBER(I29),IF(I29&lt;=60,"OK","VIOLADO"),"Sem contacto"))</f>
        <v/>
      </c>
      <c r="K29" s="13"/>
      <c r="L29" s="13"/>
    </row>
    <row r="30" customFormat="false" ht="15" hidden="false" customHeight="false" outlineLevel="0" collapsed="false">
      <c r="A30" s="12"/>
      <c r="B30" s="12"/>
      <c r="C30" s="12"/>
      <c r="D30" s="12"/>
      <c r="E30" s="23"/>
      <c r="F30" s="13"/>
      <c r="G30" s="23"/>
      <c r="H30" s="13"/>
      <c r="I30" s="15" t="str">
        <f aca="false">IF(AND(ISNUMBER(E30),ISNUMBER(G30)),(G30-E30)*1440,"")</f>
        <v/>
      </c>
      <c r="J30" s="13" t="str">
        <f aca="false">IF(E30="","",IF(ISNUMBER(I30),IF(I30&lt;=60,"OK","VIOLADO"),"Sem contacto"))</f>
        <v/>
      </c>
      <c r="K30" s="13"/>
      <c r="L30" s="13"/>
    </row>
    <row r="31" customFormat="false" ht="15" hidden="false" customHeight="false" outlineLevel="0" collapsed="false">
      <c r="A31" s="12"/>
      <c r="B31" s="12"/>
      <c r="C31" s="12"/>
      <c r="D31" s="12"/>
      <c r="E31" s="23"/>
      <c r="F31" s="13"/>
      <c r="G31" s="23"/>
      <c r="H31" s="13"/>
      <c r="I31" s="15" t="str">
        <f aca="false">IF(AND(ISNUMBER(E31),ISNUMBER(G31)),(G31-E31)*1440,"")</f>
        <v/>
      </c>
      <c r="J31" s="13" t="str">
        <f aca="false">IF(E31="","",IF(ISNUMBER(I31),IF(I31&lt;=60,"OK","VIOLADO"),"Sem contacto"))</f>
        <v/>
      </c>
      <c r="K31" s="13"/>
      <c r="L31" s="13"/>
    </row>
    <row r="32" customFormat="false" ht="15" hidden="false" customHeight="false" outlineLevel="0" collapsed="false">
      <c r="A32" s="12"/>
      <c r="B32" s="12"/>
      <c r="C32" s="12"/>
      <c r="D32" s="12"/>
      <c r="E32" s="23"/>
      <c r="F32" s="13"/>
      <c r="G32" s="23"/>
      <c r="H32" s="13"/>
      <c r="I32" s="15" t="str">
        <f aca="false">IF(AND(ISNUMBER(E32),ISNUMBER(G32)),(G32-E32)*1440,"")</f>
        <v/>
      </c>
      <c r="J32" s="13" t="str">
        <f aca="false">IF(E32="","",IF(ISNUMBER(I32),IF(I32&lt;=60,"OK","VIOLADO"),"Sem contacto"))</f>
        <v/>
      </c>
      <c r="K32" s="13"/>
      <c r="L32" s="13"/>
    </row>
    <row r="33" customFormat="false" ht="15" hidden="false" customHeight="false" outlineLevel="0" collapsed="false">
      <c r="A33" s="12"/>
      <c r="B33" s="12"/>
      <c r="C33" s="12"/>
      <c r="D33" s="12"/>
      <c r="E33" s="23"/>
      <c r="F33" s="13"/>
      <c r="G33" s="23"/>
      <c r="H33" s="13"/>
      <c r="I33" s="15" t="str">
        <f aca="false">IF(AND(ISNUMBER(E33),ISNUMBER(G33)),(G33-E33)*1440,"")</f>
        <v/>
      </c>
      <c r="J33" s="13" t="str">
        <f aca="false">IF(E33="","",IF(ISNUMBER(I33),IF(I33&lt;=60,"OK","VIOLADO"),"Sem contacto"))</f>
        <v/>
      </c>
      <c r="K33" s="13"/>
      <c r="L33" s="13"/>
    </row>
    <row r="34" customFormat="false" ht="15" hidden="false" customHeight="false" outlineLevel="0" collapsed="false">
      <c r="A34" s="12"/>
      <c r="B34" s="12"/>
      <c r="C34" s="12"/>
      <c r="D34" s="12"/>
      <c r="E34" s="23"/>
      <c r="F34" s="13"/>
      <c r="G34" s="23"/>
      <c r="H34" s="13"/>
      <c r="I34" s="15" t="str">
        <f aca="false">IF(AND(ISNUMBER(E34),ISNUMBER(G34)),(G34-E34)*1440,"")</f>
        <v/>
      </c>
      <c r="J34" s="13" t="str">
        <f aca="false">IF(E34="","",IF(ISNUMBER(I34),IF(I34&lt;=60,"OK","VIOLADO"),"Sem contacto"))</f>
        <v/>
      </c>
      <c r="K34" s="13"/>
      <c r="L34" s="13"/>
    </row>
    <row r="35" customFormat="false" ht="15" hidden="false" customHeight="false" outlineLevel="0" collapsed="false">
      <c r="A35" s="12"/>
      <c r="B35" s="12"/>
      <c r="C35" s="12"/>
      <c r="D35" s="12"/>
      <c r="E35" s="23"/>
      <c r="F35" s="13"/>
      <c r="G35" s="23"/>
      <c r="H35" s="13"/>
      <c r="I35" s="15" t="str">
        <f aca="false">IF(AND(ISNUMBER(E35),ISNUMBER(G35)),(G35-E35)*1440,"")</f>
        <v/>
      </c>
      <c r="J35" s="13" t="str">
        <f aca="false">IF(E35="","",IF(ISNUMBER(I35),IF(I35&lt;=60,"OK","VIOLADO"),"Sem contacto"))</f>
        <v/>
      </c>
      <c r="K35" s="13"/>
      <c r="L35" s="13"/>
    </row>
    <row r="36" customFormat="false" ht="15" hidden="false" customHeight="false" outlineLevel="0" collapsed="false">
      <c r="A36" s="12"/>
      <c r="B36" s="12"/>
      <c r="C36" s="12"/>
      <c r="D36" s="12"/>
      <c r="E36" s="23"/>
      <c r="F36" s="13"/>
      <c r="G36" s="23"/>
      <c r="H36" s="13"/>
      <c r="I36" s="15" t="str">
        <f aca="false">IF(AND(ISNUMBER(E36),ISNUMBER(G36)),(G36-E36)*1440,"")</f>
        <v/>
      </c>
      <c r="J36" s="13" t="str">
        <f aca="false">IF(E36="","",IF(ISNUMBER(I36),IF(I36&lt;=60,"OK","VIOLADO"),"Sem contacto"))</f>
        <v/>
      </c>
      <c r="K36" s="13"/>
      <c r="L36" s="13"/>
    </row>
    <row r="37" customFormat="false" ht="15" hidden="false" customHeight="false" outlineLevel="0" collapsed="false">
      <c r="A37" s="12"/>
      <c r="B37" s="12"/>
      <c r="C37" s="12"/>
      <c r="D37" s="12"/>
      <c r="E37" s="23"/>
      <c r="F37" s="13"/>
      <c r="G37" s="23"/>
      <c r="H37" s="13"/>
      <c r="I37" s="15" t="str">
        <f aca="false">IF(AND(ISNUMBER(E37),ISNUMBER(G37)),(G37-E37)*1440,"")</f>
        <v/>
      </c>
      <c r="J37" s="13" t="str">
        <f aca="false">IF(E37="","",IF(ISNUMBER(I37),IF(I37&lt;=60,"OK","VIOLADO"),"Sem contacto"))</f>
        <v/>
      </c>
      <c r="K37" s="13"/>
      <c r="L37" s="13"/>
    </row>
    <row r="38" customFormat="false" ht="15" hidden="false" customHeight="false" outlineLevel="0" collapsed="false">
      <c r="A38" s="12"/>
      <c r="B38" s="12"/>
      <c r="C38" s="12"/>
      <c r="D38" s="12"/>
      <c r="E38" s="23"/>
      <c r="F38" s="13"/>
      <c r="G38" s="23"/>
      <c r="H38" s="13"/>
      <c r="I38" s="15" t="str">
        <f aca="false">IF(AND(ISNUMBER(E38),ISNUMBER(G38)),(G38-E38)*1440,"")</f>
        <v/>
      </c>
      <c r="J38" s="13" t="str">
        <f aca="false">IF(E38="","",IF(ISNUMBER(I38),IF(I38&lt;=60,"OK","VIOLADO"),"Sem contacto"))</f>
        <v/>
      </c>
      <c r="K38" s="13"/>
      <c r="L38" s="13"/>
    </row>
    <row r="39" customFormat="false" ht="15" hidden="false" customHeight="false" outlineLevel="0" collapsed="false">
      <c r="A39" s="12"/>
      <c r="B39" s="12"/>
      <c r="C39" s="12"/>
      <c r="D39" s="12"/>
      <c r="E39" s="23"/>
      <c r="F39" s="13"/>
      <c r="G39" s="23"/>
      <c r="H39" s="13"/>
      <c r="I39" s="15" t="str">
        <f aca="false">IF(AND(ISNUMBER(E39),ISNUMBER(G39)),(G39-E39)*1440,"")</f>
        <v/>
      </c>
      <c r="J39" s="13" t="str">
        <f aca="false">IF(E39="","",IF(ISNUMBER(I39),IF(I39&lt;=60,"OK","VIOLADO"),"Sem contacto"))</f>
        <v/>
      </c>
      <c r="K39" s="13"/>
      <c r="L39" s="13"/>
    </row>
    <row r="40" customFormat="false" ht="15" hidden="false" customHeight="false" outlineLevel="0" collapsed="false">
      <c r="A40" s="12"/>
      <c r="B40" s="12"/>
      <c r="C40" s="12"/>
      <c r="D40" s="12"/>
      <c r="E40" s="23"/>
      <c r="F40" s="13"/>
      <c r="G40" s="23"/>
      <c r="H40" s="13"/>
      <c r="I40" s="15" t="str">
        <f aca="false">IF(AND(ISNUMBER(E40),ISNUMBER(G40)),(G40-E40)*1440,"")</f>
        <v/>
      </c>
      <c r="J40" s="13" t="str">
        <f aca="false">IF(E40="","",IF(ISNUMBER(I40),IF(I40&lt;=60,"OK","VIOLADO"),"Sem contacto"))</f>
        <v/>
      </c>
      <c r="K40" s="13"/>
      <c r="L40" s="13"/>
    </row>
    <row r="41" customFormat="false" ht="15" hidden="false" customHeight="false" outlineLevel="0" collapsed="false">
      <c r="A41" s="12"/>
      <c r="B41" s="12"/>
      <c r="C41" s="12"/>
      <c r="D41" s="12"/>
      <c r="E41" s="23"/>
      <c r="F41" s="13"/>
      <c r="G41" s="23"/>
      <c r="H41" s="13"/>
      <c r="I41" s="15" t="str">
        <f aca="false">IF(AND(ISNUMBER(E41),ISNUMBER(G41)),(G41-E41)*1440,"")</f>
        <v/>
      </c>
      <c r="J41" s="13" t="str">
        <f aca="false">IF(E41="","",IF(ISNUMBER(I41),IF(I41&lt;=60,"OK","VIOLADO"),"Sem contacto"))</f>
        <v/>
      </c>
      <c r="K41" s="13"/>
      <c r="L41" s="13"/>
    </row>
    <row r="42" customFormat="false" ht="15" hidden="false" customHeight="false" outlineLevel="0" collapsed="false">
      <c r="A42" s="12"/>
      <c r="B42" s="12"/>
      <c r="C42" s="12"/>
      <c r="D42" s="12"/>
      <c r="E42" s="23"/>
      <c r="F42" s="13"/>
      <c r="G42" s="23"/>
      <c r="H42" s="13"/>
      <c r="I42" s="15" t="str">
        <f aca="false">IF(AND(ISNUMBER(E42),ISNUMBER(G42)),(G42-E42)*1440,"")</f>
        <v/>
      </c>
      <c r="J42" s="13" t="str">
        <f aca="false">IF(E42="","",IF(ISNUMBER(I42),IF(I42&lt;=60,"OK","VIOLADO"),"Sem contacto"))</f>
        <v/>
      </c>
      <c r="K42" s="13"/>
      <c r="L42" s="13"/>
    </row>
    <row r="43" customFormat="false" ht="15" hidden="false" customHeight="false" outlineLevel="0" collapsed="false">
      <c r="A43" s="12"/>
      <c r="B43" s="12"/>
      <c r="C43" s="12"/>
      <c r="D43" s="12"/>
      <c r="E43" s="23"/>
      <c r="F43" s="13"/>
      <c r="G43" s="23"/>
      <c r="H43" s="13"/>
      <c r="I43" s="15" t="str">
        <f aca="false">IF(AND(ISNUMBER(E43),ISNUMBER(G43)),(G43-E43)*1440,"")</f>
        <v/>
      </c>
      <c r="J43" s="13" t="str">
        <f aca="false">IF(E43="","",IF(ISNUMBER(I43),IF(I43&lt;=60,"OK","VIOLADO"),"Sem contacto"))</f>
        <v/>
      </c>
      <c r="K43" s="13"/>
      <c r="L43" s="13"/>
    </row>
    <row r="44" customFormat="false" ht="15" hidden="false" customHeight="false" outlineLevel="0" collapsed="false">
      <c r="A44" s="12"/>
      <c r="B44" s="12"/>
      <c r="C44" s="12"/>
      <c r="D44" s="12"/>
      <c r="E44" s="23"/>
      <c r="F44" s="13"/>
      <c r="G44" s="23"/>
      <c r="H44" s="13"/>
      <c r="I44" s="15" t="str">
        <f aca="false">IF(AND(ISNUMBER(E44),ISNUMBER(G44)),(G44-E44)*1440,"")</f>
        <v/>
      </c>
      <c r="J44" s="13" t="str">
        <f aca="false">IF(E44="","",IF(ISNUMBER(I44),IF(I44&lt;=60,"OK","VIOLADO"),"Sem contacto"))</f>
        <v/>
      </c>
      <c r="K44" s="13"/>
      <c r="L44" s="13"/>
    </row>
    <row r="45" customFormat="false" ht="15" hidden="false" customHeight="false" outlineLevel="0" collapsed="false">
      <c r="A45" s="12"/>
      <c r="B45" s="12"/>
      <c r="C45" s="12"/>
      <c r="D45" s="12"/>
      <c r="E45" s="23"/>
      <c r="F45" s="13"/>
      <c r="G45" s="23"/>
      <c r="H45" s="13"/>
      <c r="I45" s="15" t="str">
        <f aca="false">IF(AND(ISNUMBER(E45),ISNUMBER(G45)),(G45-E45)*1440,"")</f>
        <v/>
      </c>
      <c r="J45" s="13" t="str">
        <f aca="false">IF(E45="","",IF(ISNUMBER(I45),IF(I45&lt;=60,"OK","VIOLADO"),"Sem contacto"))</f>
        <v/>
      </c>
      <c r="K45" s="13"/>
      <c r="L45" s="13"/>
    </row>
    <row r="46" customFormat="false" ht="15" hidden="false" customHeight="false" outlineLevel="0" collapsed="false">
      <c r="A46" s="12"/>
      <c r="B46" s="12"/>
      <c r="C46" s="12"/>
      <c r="D46" s="12"/>
      <c r="E46" s="23"/>
      <c r="F46" s="13"/>
      <c r="G46" s="23"/>
      <c r="H46" s="13"/>
      <c r="I46" s="15" t="str">
        <f aca="false">IF(AND(ISNUMBER(E46),ISNUMBER(G46)),(G46-E46)*1440,"")</f>
        <v/>
      </c>
      <c r="J46" s="13" t="str">
        <f aca="false">IF(E46="","",IF(ISNUMBER(I46),IF(I46&lt;=60,"OK","VIOLADO"),"Sem contacto"))</f>
        <v/>
      </c>
      <c r="K46" s="13"/>
      <c r="L46" s="13"/>
    </row>
    <row r="47" customFormat="false" ht="15" hidden="false" customHeight="false" outlineLevel="0" collapsed="false">
      <c r="A47" s="12"/>
      <c r="B47" s="12"/>
      <c r="C47" s="12"/>
      <c r="D47" s="12"/>
      <c r="E47" s="23"/>
      <c r="F47" s="13"/>
      <c r="G47" s="23"/>
      <c r="H47" s="13"/>
      <c r="I47" s="15" t="str">
        <f aca="false">IF(AND(ISNUMBER(E47),ISNUMBER(G47)),(G47-E47)*1440,"")</f>
        <v/>
      </c>
      <c r="J47" s="13" t="str">
        <f aca="false">IF(E47="","",IF(ISNUMBER(I47),IF(I47&lt;=60,"OK","VIOLADO"),"Sem contacto"))</f>
        <v/>
      </c>
      <c r="K47" s="13"/>
      <c r="L47" s="13"/>
    </row>
    <row r="48" customFormat="false" ht="15" hidden="false" customHeight="false" outlineLevel="0" collapsed="false">
      <c r="A48" s="12"/>
      <c r="B48" s="12"/>
      <c r="C48" s="12"/>
      <c r="D48" s="12"/>
      <c r="E48" s="23"/>
      <c r="F48" s="13"/>
      <c r="G48" s="23"/>
      <c r="H48" s="13"/>
      <c r="I48" s="15" t="str">
        <f aca="false">IF(AND(ISNUMBER(E48),ISNUMBER(G48)),(G48-E48)*1440,"")</f>
        <v/>
      </c>
      <c r="J48" s="13" t="str">
        <f aca="false">IF(E48="","",IF(ISNUMBER(I48),IF(I48&lt;=60,"OK","VIOLADO"),"Sem contacto"))</f>
        <v/>
      </c>
      <c r="K48" s="13"/>
      <c r="L48" s="13"/>
    </row>
    <row r="49" customFormat="false" ht="15" hidden="false" customHeight="false" outlineLevel="0" collapsed="false">
      <c r="A49" s="12"/>
      <c r="B49" s="12"/>
      <c r="C49" s="12"/>
      <c r="D49" s="12"/>
      <c r="E49" s="23"/>
      <c r="F49" s="13"/>
      <c r="G49" s="23"/>
      <c r="H49" s="13"/>
      <c r="I49" s="15" t="str">
        <f aca="false">IF(AND(ISNUMBER(E49),ISNUMBER(G49)),(G49-E49)*1440,"")</f>
        <v/>
      </c>
      <c r="J49" s="13" t="str">
        <f aca="false">IF(E49="","",IF(ISNUMBER(I49),IF(I49&lt;=60,"OK","VIOLADO"),"Sem contacto"))</f>
        <v/>
      </c>
      <c r="K49" s="13"/>
      <c r="L49" s="13"/>
    </row>
    <row r="50" customFormat="false" ht="15" hidden="false" customHeight="false" outlineLevel="0" collapsed="false">
      <c r="A50" s="12"/>
      <c r="B50" s="12"/>
      <c r="C50" s="12"/>
      <c r="D50" s="12"/>
      <c r="E50" s="23"/>
      <c r="F50" s="13"/>
      <c r="G50" s="23"/>
      <c r="H50" s="13"/>
      <c r="I50" s="15" t="str">
        <f aca="false">IF(AND(ISNUMBER(E50),ISNUMBER(G50)),(G50-E50)*1440,"")</f>
        <v/>
      </c>
      <c r="J50" s="13" t="str">
        <f aca="false">IF(E50="","",IF(ISNUMBER(I50),IF(I50&lt;=60,"OK","VIOLADO"),"Sem contacto"))</f>
        <v/>
      </c>
      <c r="K50" s="13"/>
      <c r="L50" s="13"/>
    </row>
    <row r="51" customFormat="false" ht="15" hidden="false" customHeight="false" outlineLevel="0" collapsed="false">
      <c r="A51" s="12"/>
      <c r="B51" s="12"/>
      <c r="C51" s="12"/>
      <c r="D51" s="12"/>
      <c r="E51" s="23"/>
      <c r="F51" s="13"/>
      <c r="G51" s="23"/>
      <c r="H51" s="13"/>
      <c r="I51" s="15" t="str">
        <f aca="false">IF(AND(ISNUMBER(E51),ISNUMBER(G51)),(G51-E51)*1440,"")</f>
        <v/>
      </c>
      <c r="J51" s="13" t="str">
        <f aca="false">IF(E51="","",IF(ISNUMBER(I51),IF(I51&lt;=60,"OK","VIOLADO"),"Sem contacto"))</f>
        <v/>
      </c>
      <c r="K51" s="13"/>
      <c r="L51" s="13"/>
    </row>
    <row r="52" customFormat="false" ht="15" hidden="false" customHeight="false" outlineLevel="0" collapsed="false">
      <c r="A52" s="12"/>
      <c r="B52" s="12"/>
      <c r="C52" s="12"/>
      <c r="D52" s="12"/>
      <c r="E52" s="23"/>
      <c r="F52" s="13"/>
      <c r="G52" s="23"/>
      <c r="H52" s="13"/>
      <c r="I52" s="15" t="str">
        <f aca="false">IF(AND(ISNUMBER(E52),ISNUMBER(G52)),(G52-E52)*1440,"")</f>
        <v/>
      </c>
      <c r="J52" s="13" t="str">
        <f aca="false">IF(E52="","",IF(ISNUMBER(I52),IF(I52&lt;=60,"OK","VIOLADO"),"Sem contacto"))</f>
        <v/>
      </c>
      <c r="K52" s="13"/>
      <c r="L52" s="13"/>
    </row>
    <row r="53" customFormat="false" ht="15" hidden="false" customHeight="false" outlineLevel="0" collapsed="false">
      <c r="A53" s="12"/>
      <c r="B53" s="12"/>
      <c r="C53" s="12"/>
      <c r="D53" s="12"/>
      <c r="E53" s="23"/>
      <c r="F53" s="13"/>
      <c r="G53" s="23"/>
      <c r="H53" s="13"/>
      <c r="I53" s="15" t="str">
        <f aca="false">IF(AND(ISNUMBER(E53),ISNUMBER(G53)),(G53-E53)*1440,"")</f>
        <v/>
      </c>
      <c r="J53" s="13" t="str">
        <f aca="false">IF(E53="","",IF(ISNUMBER(I53),IF(I53&lt;=60,"OK","VIOLADO"),"Sem contacto"))</f>
        <v/>
      </c>
      <c r="K53" s="13"/>
      <c r="L53" s="13"/>
    </row>
    <row r="54" customFormat="false" ht="15" hidden="false" customHeight="false" outlineLevel="0" collapsed="false">
      <c r="A54" s="12"/>
      <c r="B54" s="12"/>
      <c r="C54" s="12"/>
      <c r="D54" s="12"/>
      <c r="E54" s="23"/>
      <c r="F54" s="13"/>
      <c r="G54" s="23"/>
      <c r="H54" s="13"/>
      <c r="I54" s="15" t="str">
        <f aca="false">IF(AND(ISNUMBER(E54),ISNUMBER(G54)),(G54-E54)*1440,"")</f>
        <v/>
      </c>
      <c r="J54" s="13" t="str">
        <f aca="false">IF(E54="","",IF(ISNUMBER(I54),IF(I54&lt;=60,"OK","VIOLADO"),"Sem contacto"))</f>
        <v/>
      </c>
      <c r="K54" s="13"/>
      <c r="L54" s="13"/>
    </row>
    <row r="55" customFormat="false" ht="15" hidden="false" customHeight="false" outlineLevel="0" collapsed="false">
      <c r="A55" s="12"/>
      <c r="B55" s="12"/>
      <c r="C55" s="12"/>
      <c r="D55" s="12"/>
      <c r="E55" s="23"/>
      <c r="F55" s="13"/>
      <c r="G55" s="23"/>
      <c r="H55" s="13"/>
      <c r="I55" s="15" t="str">
        <f aca="false">IF(AND(ISNUMBER(E55),ISNUMBER(G55)),(G55-E55)*1440,"")</f>
        <v/>
      </c>
      <c r="J55" s="13" t="str">
        <f aca="false">IF(E55="","",IF(ISNUMBER(I55),IF(I55&lt;=60,"OK","VIOLADO"),"Sem contacto"))</f>
        <v/>
      </c>
      <c r="K55" s="13"/>
      <c r="L55" s="13"/>
    </row>
    <row r="56" customFormat="false" ht="15" hidden="false" customHeight="false" outlineLevel="0" collapsed="false">
      <c r="A56" s="12"/>
      <c r="B56" s="12"/>
      <c r="C56" s="12"/>
      <c r="D56" s="12"/>
      <c r="E56" s="23"/>
      <c r="F56" s="13"/>
      <c r="G56" s="23"/>
      <c r="H56" s="13"/>
      <c r="I56" s="15" t="str">
        <f aca="false">IF(AND(ISNUMBER(E56),ISNUMBER(G56)),(G56-E56)*1440,"")</f>
        <v/>
      </c>
      <c r="J56" s="13" t="str">
        <f aca="false">IF(E56="","",IF(ISNUMBER(I56),IF(I56&lt;=60,"OK","VIOLADO"),"Sem contacto"))</f>
        <v/>
      </c>
      <c r="K56" s="13"/>
      <c r="L56" s="13"/>
    </row>
    <row r="57" customFormat="false" ht="15" hidden="false" customHeight="false" outlineLevel="0" collapsed="false">
      <c r="A57" s="12"/>
      <c r="B57" s="12"/>
      <c r="C57" s="12"/>
      <c r="D57" s="12"/>
      <c r="E57" s="23"/>
      <c r="F57" s="13"/>
      <c r="G57" s="23"/>
      <c r="H57" s="13"/>
      <c r="I57" s="15" t="str">
        <f aca="false">IF(AND(ISNUMBER(E57),ISNUMBER(G57)),(G57-E57)*1440,"")</f>
        <v/>
      </c>
      <c r="J57" s="13" t="str">
        <f aca="false">IF(E57="","",IF(ISNUMBER(I57),IF(I57&lt;=60,"OK","VIOLADO"),"Sem contacto"))</f>
        <v/>
      </c>
      <c r="K57" s="13"/>
      <c r="L57" s="13"/>
    </row>
    <row r="58" customFormat="false" ht="15" hidden="false" customHeight="false" outlineLevel="0" collapsed="false">
      <c r="A58" s="12"/>
      <c r="B58" s="12"/>
      <c r="C58" s="12"/>
      <c r="D58" s="12"/>
      <c r="E58" s="23"/>
      <c r="F58" s="13"/>
      <c r="G58" s="23"/>
      <c r="H58" s="13"/>
      <c r="I58" s="15" t="str">
        <f aca="false">IF(AND(ISNUMBER(E58),ISNUMBER(G58)),(G58-E58)*1440,"")</f>
        <v/>
      </c>
      <c r="J58" s="13" t="str">
        <f aca="false">IF(E58="","",IF(ISNUMBER(I58),IF(I58&lt;=60,"OK","VIOLADO"),"Sem contacto"))</f>
        <v/>
      </c>
      <c r="K58" s="13"/>
      <c r="L58" s="13"/>
    </row>
    <row r="59" customFormat="false" ht="15" hidden="false" customHeight="false" outlineLevel="0" collapsed="false">
      <c r="A59" s="12"/>
      <c r="B59" s="12"/>
      <c r="C59" s="12"/>
      <c r="D59" s="12"/>
      <c r="E59" s="23"/>
      <c r="F59" s="13"/>
      <c r="G59" s="23"/>
      <c r="H59" s="13"/>
      <c r="I59" s="15" t="str">
        <f aca="false">IF(AND(ISNUMBER(E59),ISNUMBER(G59)),(G59-E59)*1440,"")</f>
        <v/>
      </c>
      <c r="J59" s="13" t="str">
        <f aca="false">IF(E59="","",IF(ISNUMBER(I59),IF(I59&lt;=60,"OK","VIOLADO"),"Sem contacto"))</f>
        <v/>
      </c>
      <c r="K59" s="13"/>
      <c r="L59" s="13"/>
    </row>
    <row r="60" customFormat="false" ht="15" hidden="false" customHeight="false" outlineLevel="0" collapsed="false">
      <c r="A60" s="12"/>
      <c r="B60" s="12"/>
      <c r="C60" s="12"/>
      <c r="D60" s="12"/>
      <c r="E60" s="23"/>
      <c r="F60" s="13"/>
      <c r="G60" s="23"/>
      <c r="H60" s="13"/>
      <c r="I60" s="15" t="str">
        <f aca="false">IF(AND(ISNUMBER(E60),ISNUMBER(G60)),(G60-E60)*1440,"")</f>
        <v/>
      </c>
      <c r="J60" s="13" t="str">
        <f aca="false">IF(E60="","",IF(ISNUMBER(I60),IF(I60&lt;=60,"OK","VIOLADO"),"Sem contacto"))</f>
        <v/>
      </c>
      <c r="K60" s="13"/>
      <c r="L60" s="13"/>
    </row>
    <row r="61" customFormat="false" ht="15" hidden="false" customHeight="false" outlineLevel="0" collapsed="false">
      <c r="A61" s="12"/>
      <c r="B61" s="12"/>
      <c r="C61" s="12"/>
      <c r="D61" s="12"/>
      <c r="E61" s="23"/>
      <c r="F61" s="13"/>
      <c r="G61" s="23"/>
      <c r="H61" s="13"/>
      <c r="I61" s="15" t="str">
        <f aca="false">IF(AND(ISNUMBER(E61),ISNUMBER(G61)),(G61-E61)*1440,"")</f>
        <v/>
      </c>
      <c r="J61" s="13" t="str">
        <f aca="false">IF(E61="","",IF(ISNUMBER(I61),IF(I61&lt;=60,"OK","VIOLADO"),"Sem contacto"))</f>
        <v/>
      </c>
      <c r="K61" s="13"/>
      <c r="L61" s="13"/>
    </row>
    <row r="62" customFormat="false" ht="15" hidden="false" customHeight="false" outlineLevel="0" collapsed="false">
      <c r="A62" s="12"/>
      <c r="B62" s="12"/>
      <c r="C62" s="12"/>
      <c r="D62" s="12"/>
      <c r="E62" s="23"/>
      <c r="F62" s="13"/>
      <c r="G62" s="23"/>
      <c r="H62" s="13"/>
      <c r="I62" s="15" t="str">
        <f aca="false">IF(AND(ISNUMBER(E62),ISNUMBER(G62)),(G62-E62)*1440,"")</f>
        <v/>
      </c>
      <c r="J62" s="13" t="str">
        <f aca="false">IF(E62="","",IF(ISNUMBER(I62),IF(I62&lt;=60,"OK","VIOLADO"),"Sem contacto"))</f>
        <v/>
      </c>
      <c r="K62" s="13"/>
      <c r="L62" s="13"/>
    </row>
    <row r="63" customFormat="false" ht="15" hidden="false" customHeight="false" outlineLevel="0" collapsed="false">
      <c r="A63" s="12"/>
      <c r="B63" s="12"/>
      <c r="C63" s="12"/>
      <c r="D63" s="12"/>
      <c r="E63" s="23"/>
      <c r="F63" s="13"/>
      <c r="G63" s="23"/>
      <c r="H63" s="13"/>
      <c r="I63" s="15" t="str">
        <f aca="false">IF(AND(ISNUMBER(E63),ISNUMBER(G63)),(G63-E63)*1440,"")</f>
        <v/>
      </c>
      <c r="J63" s="13" t="str">
        <f aca="false">IF(E63="","",IF(ISNUMBER(I63),IF(I63&lt;=60,"OK","VIOLADO"),"Sem contacto"))</f>
        <v/>
      </c>
      <c r="K63" s="13"/>
      <c r="L63" s="13"/>
    </row>
    <row r="64" customFormat="false" ht="15" hidden="false" customHeight="false" outlineLevel="0" collapsed="false">
      <c r="A64" s="12"/>
      <c r="B64" s="12"/>
      <c r="C64" s="12"/>
      <c r="D64" s="12"/>
      <c r="E64" s="23"/>
      <c r="F64" s="13"/>
      <c r="G64" s="23"/>
      <c r="H64" s="13"/>
      <c r="I64" s="15" t="str">
        <f aca="false">IF(AND(ISNUMBER(E64),ISNUMBER(G64)),(G64-E64)*1440,"")</f>
        <v/>
      </c>
      <c r="J64" s="13" t="str">
        <f aca="false">IF(E64="","",IF(ISNUMBER(I64),IF(I64&lt;=60,"OK","VIOLADO"),"Sem contacto"))</f>
        <v/>
      </c>
      <c r="K64" s="13"/>
      <c r="L64" s="13"/>
    </row>
    <row r="65" customFormat="false" ht="15" hidden="false" customHeight="false" outlineLevel="0" collapsed="false">
      <c r="A65" s="12"/>
      <c r="B65" s="12"/>
      <c r="C65" s="12"/>
      <c r="D65" s="12"/>
      <c r="E65" s="23"/>
      <c r="F65" s="13"/>
      <c r="G65" s="23"/>
      <c r="H65" s="13"/>
      <c r="I65" s="15" t="str">
        <f aca="false">IF(AND(ISNUMBER(E65),ISNUMBER(G65)),(G65-E65)*1440,"")</f>
        <v/>
      </c>
      <c r="J65" s="13" t="str">
        <f aca="false">IF(E65="","",IF(ISNUMBER(I65),IF(I65&lt;=60,"OK","VIOLADO"),"Sem contacto"))</f>
        <v/>
      </c>
      <c r="K65" s="13"/>
      <c r="L65" s="13"/>
    </row>
    <row r="66" customFormat="false" ht="15" hidden="false" customHeight="false" outlineLevel="0" collapsed="false">
      <c r="A66" s="12"/>
      <c r="B66" s="12"/>
      <c r="C66" s="12"/>
      <c r="D66" s="12"/>
      <c r="E66" s="23"/>
      <c r="F66" s="13"/>
      <c r="G66" s="23"/>
      <c r="H66" s="13"/>
      <c r="I66" s="15" t="str">
        <f aca="false">IF(AND(ISNUMBER(E66),ISNUMBER(G66)),(G66-E66)*1440,"")</f>
        <v/>
      </c>
      <c r="J66" s="13" t="str">
        <f aca="false">IF(E66="","",IF(ISNUMBER(I66),IF(I66&lt;=60,"OK","VIOLADO"),"Sem contacto"))</f>
        <v/>
      </c>
      <c r="K66" s="13"/>
      <c r="L66" s="13"/>
    </row>
    <row r="67" customFormat="false" ht="15" hidden="false" customHeight="false" outlineLevel="0" collapsed="false">
      <c r="A67" s="12"/>
      <c r="B67" s="12"/>
      <c r="C67" s="12"/>
      <c r="D67" s="12"/>
      <c r="E67" s="23"/>
      <c r="F67" s="13"/>
      <c r="G67" s="23"/>
      <c r="H67" s="13"/>
      <c r="I67" s="15" t="str">
        <f aca="false">IF(AND(ISNUMBER(E67),ISNUMBER(G67)),(G67-E67)*1440,"")</f>
        <v/>
      </c>
      <c r="J67" s="13" t="str">
        <f aca="false">IF(E67="","",IF(ISNUMBER(I67),IF(I67&lt;=60,"OK","VIOLADO"),"Sem contacto"))</f>
        <v/>
      </c>
      <c r="K67" s="13"/>
      <c r="L67" s="13"/>
    </row>
    <row r="68" customFormat="false" ht="15" hidden="false" customHeight="false" outlineLevel="0" collapsed="false">
      <c r="A68" s="12"/>
      <c r="B68" s="12"/>
      <c r="C68" s="12"/>
      <c r="D68" s="12"/>
      <c r="E68" s="23"/>
      <c r="F68" s="13"/>
      <c r="G68" s="23"/>
      <c r="H68" s="13"/>
      <c r="I68" s="15" t="str">
        <f aca="false">IF(AND(ISNUMBER(E68),ISNUMBER(G68)),(G68-E68)*1440,"")</f>
        <v/>
      </c>
      <c r="J68" s="13" t="str">
        <f aca="false">IF(E68="","",IF(ISNUMBER(I68),IF(I68&lt;=60,"OK","VIOLADO"),"Sem contacto"))</f>
        <v/>
      </c>
      <c r="K68" s="13"/>
      <c r="L68" s="13"/>
    </row>
    <row r="69" customFormat="false" ht="15" hidden="false" customHeight="false" outlineLevel="0" collapsed="false">
      <c r="A69" s="12"/>
      <c r="B69" s="12"/>
      <c r="C69" s="12"/>
      <c r="D69" s="12"/>
      <c r="E69" s="23"/>
      <c r="F69" s="13"/>
      <c r="G69" s="23"/>
      <c r="H69" s="13"/>
      <c r="I69" s="15" t="str">
        <f aca="false">IF(AND(ISNUMBER(E69),ISNUMBER(G69)),(G69-E69)*1440,"")</f>
        <v/>
      </c>
      <c r="J69" s="13" t="str">
        <f aca="false">IF(E69="","",IF(ISNUMBER(I69),IF(I69&lt;=60,"OK","VIOLADO"),"Sem contacto"))</f>
        <v/>
      </c>
      <c r="K69" s="13"/>
      <c r="L69" s="13"/>
    </row>
    <row r="70" customFormat="false" ht="15" hidden="false" customHeight="false" outlineLevel="0" collapsed="false">
      <c r="A70" s="12"/>
      <c r="B70" s="12"/>
      <c r="C70" s="12"/>
      <c r="D70" s="12"/>
      <c r="E70" s="23"/>
      <c r="F70" s="13"/>
      <c r="G70" s="23"/>
      <c r="H70" s="13"/>
      <c r="I70" s="15" t="str">
        <f aca="false">IF(AND(ISNUMBER(E70),ISNUMBER(G70)),(G70-E70)*1440,"")</f>
        <v/>
      </c>
      <c r="J70" s="13" t="str">
        <f aca="false">IF(E70="","",IF(ISNUMBER(I70),IF(I70&lt;=60,"OK","VIOLADO"),"Sem contacto"))</f>
        <v/>
      </c>
      <c r="K70" s="13"/>
      <c r="L70" s="13"/>
    </row>
    <row r="71" customFormat="false" ht="15" hidden="false" customHeight="false" outlineLevel="0" collapsed="false">
      <c r="A71" s="12"/>
      <c r="B71" s="12"/>
      <c r="C71" s="12"/>
      <c r="D71" s="12"/>
      <c r="E71" s="23"/>
      <c r="F71" s="13"/>
      <c r="G71" s="23"/>
      <c r="H71" s="13"/>
      <c r="I71" s="15" t="str">
        <f aca="false">IF(AND(ISNUMBER(E71),ISNUMBER(G71)),(G71-E71)*1440,"")</f>
        <v/>
      </c>
      <c r="J71" s="13" t="str">
        <f aca="false">IF(E71="","",IF(ISNUMBER(I71),IF(I71&lt;=60,"OK","VIOLADO"),"Sem contacto"))</f>
        <v/>
      </c>
      <c r="K71" s="13"/>
      <c r="L71" s="13"/>
    </row>
    <row r="72" customFormat="false" ht="15" hidden="false" customHeight="false" outlineLevel="0" collapsed="false">
      <c r="A72" s="12"/>
      <c r="B72" s="12"/>
      <c r="C72" s="12"/>
      <c r="D72" s="12"/>
      <c r="E72" s="23"/>
      <c r="F72" s="13"/>
      <c r="G72" s="23"/>
      <c r="H72" s="13"/>
      <c r="I72" s="15" t="str">
        <f aca="false">IF(AND(ISNUMBER(E72),ISNUMBER(G72)),(G72-E72)*1440,"")</f>
        <v/>
      </c>
      <c r="J72" s="13" t="str">
        <f aca="false">IF(E72="","",IF(ISNUMBER(I72),IF(I72&lt;=60,"OK","VIOLADO"),"Sem contacto"))</f>
        <v/>
      </c>
      <c r="K72" s="13"/>
      <c r="L72" s="13"/>
    </row>
    <row r="73" customFormat="false" ht="15" hidden="false" customHeight="false" outlineLevel="0" collapsed="false">
      <c r="A73" s="12"/>
      <c r="B73" s="12"/>
      <c r="C73" s="12"/>
      <c r="D73" s="12"/>
      <c r="E73" s="23"/>
      <c r="F73" s="13"/>
      <c r="G73" s="23"/>
      <c r="H73" s="13"/>
      <c r="I73" s="15" t="str">
        <f aca="false">IF(AND(ISNUMBER(E73),ISNUMBER(G73)),(G73-E73)*1440,"")</f>
        <v/>
      </c>
      <c r="J73" s="13" t="str">
        <f aca="false">IF(E73="","",IF(ISNUMBER(I73),IF(I73&lt;=60,"OK","VIOLADO"),"Sem contacto"))</f>
        <v/>
      </c>
      <c r="K73" s="13"/>
      <c r="L73" s="13"/>
    </row>
    <row r="74" customFormat="false" ht="15" hidden="false" customHeight="false" outlineLevel="0" collapsed="false">
      <c r="A74" s="12"/>
      <c r="B74" s="12"/>
      <c r="C74" s="12"/>
      <c r="D74" s="12"/>
      <c r="E74" s="23"/>
      <c r="F74" s="13"/>
      <c r="G74" s="23"/>
      <c r="H74" s="13"/>
      <c r="I74" s="15" t="str">
        <f aca="false">IF(AND(ISNUMBER(E74),ISNUMBER(G74)),(G74-E74)*1440,"")</f>
        <v/>
      </c>
      <c r="J74" s="13" t="str">
        <f aca="false">IF(E74="","",IF(ISNUMBER(I74),IF(I74&lt;=60,"OK","VIOLADO"),"Sem contacto"))</f>
        <v/>
      </c>
      <c r="K74" s="13"/>
      <c r="L74" s="13"/>
    </row>
    <row r="75" customFormat="false" ht="15" hidden="false" customHeight="false" outlineLevel="0" collapsed="false">
      <c r="A75" s="12"/>
      <c r="B75" s="12"/>
      <c r="C75" s="12"/>
      <c r="D75" s="12"/>
      <c r="E75" s="23"/>
      <c r="F75" s="13"/>
      <c r="G75" s="23"/>
      <c r="H75" s="13"/>
      <c r="I75" s="15" t="str">
        <f aca="false">IF(AND(ISNUMBER(E75),ISNUMBER(G75)),(G75-E75)*1440,"")</f>
        <v/>
      </c>
      <c r="J75" s="13" t="str">
        <f aca="false">IF(E75="","",IF(ISNUMBER(I75),IF(I75&lt;=60,"OK","VIOLADO"),"Sem contacto"))</f>
        <v/>
      </c>
      <c r="K75" s="13"/>
      <c r="L75" s="13"/>
    </row>
    <row r="76" customFormat="false" ht="15" hidden="false" customHeight="false" outlineLevel="0" collapsed="false">
      <c r="A76" s="12"/>
      <c r="B76" s="12"/>
      <c r="C76" s="12"/>
      <c r="D76" s="12"/>
      <c r="E76" s="23"/>
      <c r="F76" s="13"/>
      <c r="G76" s="23"/>
      <c r="H76" s="13"/>
      <c r="I76" s="15" t="str">
        <f aca="false">IF(AND(ISNUMBER(E76),ISNUMBER(G76)),(G76-E76)*1440,"")</f>
        <v/>
      </c>
      <c r="J76" s="13" t="str">
        <f aca="false">IF(E76="","",IF(ISNUMBER(I76),IF(I76&lt;=60,"OK","VIOLADO"),"Sem contacto"))</f>
        <v/>
      </c>
      <c r="K76" s="13"/>
      <c r="L76" s="13"/>
    </row>
    <row r="77" customFormat="false" ht="15" hidden="false" customHeight="false" outlineLevel="0" collapsed="false">
      <c r="A77" s="12"/>
      <c r="B77" s="12"/>
      <c r="C77" s="12"/>
      <c r="D77" s="12"/>
      <c r="E77" s="23"/>
      <c r="F77" s="13"/>
      <c r="G77" s="23"/>
      <c r="H77" s="13"/>
      <c r="I77" s="15" t="str">
        <f aca="false">IF(AND(ISNUMBER(E77),ISNUMBER(G77)),(G77-E77)*1440,"")</f>
        <v/>
      </c>
      <c r="J77" s="13" t="str">
        <f aca="false">IF(E77="","",IF(ISNUMBER(I77),IF(I77&lt;=60,"OK","VIOLADO"),"Sem contacto"))</f>
        <v/>
      </c>
      <c r="K77" s="13"/>
      <c r="L77" s="13"/>
    </row>
    <row r="78" customFormat="false" ht="15" hidden="false" customHeight="false" outlineLevel="0" collapsed="false">
      <c r="A78" s="12"/>
      <c r="B78" s="12"/>
      <c r="C78" s="12"/>
      <c r="D78" s="12"/>
      <c r="E78" s="23"/>
      <c r="F78" s="13"/>
      <c r="G78" s="23"/>
      <c r="H78" s="13"/>
      <c r="I78" s="15" t="str">
        <f aca="false">IF(AND(ISNUMBER(E78),ISNUMBER(G78)),(G78-E78)*1440,"")</f>
        <v/>
      </c>
      <c r="J78" s="13" t="str">
        <f aca="false">IF(E78="","",IF(ISNUMBER(I78),IF(I78&lt;=60,"OK","VIOLADO"),"Sem contacto"))</f>
        <v/>
      </c>
      <c r="K78" s="13"/>
      <c r="L78" s="13"/>
    </row>
    <row r="79" customFormat="false" ht="15" hidden="false" customHeight="false" outlineLevel="0" collapsed="false">
      <c r="A79" s="12"/>
      <c r="B79" s="12"/>
      <c r="C79" s="12"/>
      <c r="D79" s="12"/>
      <c r="E79" s="23"/>
      <c r="F79" s="13"/>
      <c r="G79" s="23"/>
      <c r="H79" s="13"/>
      <c r="I79" s="15" t="str">
        <f aca="false">IF(AND(ISNUMBER(E79),ISNUMBER(G79)),(G79-E79)*1440,"")</f>
        <v/>
      </c>
      <c r="J79" s="13" t="str">
        <f aca="false">IF(E79="","",IF(ISNUMBER(I79),IF(I79&lt;=60,"OK","VIOLADO"),"Sem contacto"))</f>
        <v/>
      </c>
      <c r="K79" s="13"/>
      <c r="L79" s="13"/>
    </row>
    <row r="80" customFormat="false" ht="15" hidden="false" customHeight="false" outlineLevel="0" collapsed="false">
      <c r="A80" s="12"/>
      <c r="B80" s="12"/>
      <c r="C80" s="12"/>
      <c r="D80" s="12"/>
      <c r="E80" s="23"/>
      <c r="F80" s="13"/>
      <c r="G80" s="23"/>
      <c r="H80" s="13"/>
      <c r="I80" s="15" t="str">
        <f aca="false">IF(AND(ISNUMBER(E80),ISNUMBER(G80)),(G80-E80)*1440,"")</f>
        <v/>
      </c>
      <c r="J80" s="13" t="str">
        <f aca="false">IF(E80="","",IF(ISNUMBER(I80),IF(I80&lt;=60,"OK","VIOLADO"),"Sem contacto"))</f>
        <v/>
      </c>
      <c r="K80" s="13"/>
      <c r="L80" s="13"/>
    </row>
    <row r="81" customFormat="false" ht="15" hidden="false" customHeight="false" outlineLevel="0" collapsed="false">
      <c r="A81" s="12"/>
      <c r="B81" s="12"/>
      <c r="C81" s="12"/>
      <c r="D81" s="12"/>
      <c r="E81" s="23"/>
      <c r="F81" s="13"/>
      <c r="G81" s="23"/>
      <c r="H81" s="13"/>
      <c r="I81" s="15" t="str">
        <f aca="false">IF(AND(ISNUMBER(E81),ISNUMBER(G81)),(G81-E81)*1440,"")</f>
        <v/>
      </c>
      <c r="J81" s="13" t="str">
        <f aca="false">IF(E81="","",IF(ISNUMBER(I81),IF(I81&lt;=60,"OK","VIOLADO"),"Sem contacto"))</f>
        <v/>
      </c>
      <c r="K81" s="13"/>
      <c r="L81" s="13"/>
    </row>
    <row r="82" customFormat="false" ht="15" hidden="false" customHeight="false" outlineLevel="0" collapsed="false">
      <c r="A82" s="12"/>
      <c r="B82" s="12"/>
      <c r="C82" s="12"/>
      <c r="D82" s="12"/>
      <c r="E82" s="23"/>
      <c r="F82" s="13"/>
      <c r="G82" s="23"/>
      <c r="H82" s="13"/>
      <c r="I82" s="15" t="str">
        <f aca="false">IF(AND(ISNUMBER(E82),ISNUMBER(G82)),(G82-E82)*1440,"")</f>
        <v/>
      </c>
      <c r="J82" s="13" t="str">
        <f aca="false">IF(E82="","",IF(ISNUMBER(I82),IF(I82&lt;=60,"OK","VIOLADO"),"Sem contacto"))</f>
        <v/>
      </c>
      <c r="K82" s="13"/>
      <c r="L82" s="13"/>
    </row>
    <row r="83" customFormat="false" ht="15" hidden="false" customHeight="false" outlineLevel="0" collapsed="false">
      <c r="A83" s="12"/>
      <c r="B83" s="12"/>
      <c r="C83" s="12"/>
      <c r="D83" s="12"/>
      <c r="E83" s="23"/>
      <c r="F83" s="13"/>
      <c r="G83" s="23"/>
      <c r="H83" s="13"/>
      <c r="I83" s="15" t="str">
        <f aca="false">IF(AND(ISNUMBER(E83),ISNUMBER(G83)),(G83-E83)*1440,"")</f>
        <v/>
      </c>
      <c r="J83" s="13" t="str">
        <f aca="false">IF(E83="","",IF(ISNUMBER(I83),IF(I83&lt;=60,"OK","VIOLADO"),"Sem contacto"))</f>
        <v/>
      </c>
      <c r="K83" s="13"/>
      <c r="L83" s="13"/>
    </row>
    <row r="84" customFormat="false" ht="15" hidden="false" customHeight="false" outlineLevel="0" collapsed="false">
      <c r="A84" s="12"/>
      <c r="B84" s="12"/>
      <c r="C84" s="12"/>
      <c r="D84" s="12"/>
      <c r="E84" s="23"/>
      <c r="F84" s="13"/>
      <c r="G84" s="23"/>
      <c r="H84" s="13"/>
      <c r="I84" s="15" t="str">
        <f aca="false">IF(AND(ISNUMBER(E84),ISNUMBER(G84)),(G84-E84)*1440,"")</f>
        <v/>
      </c>
      <c r="J84" s="13" t="str">
        <f aca="false">IF(E84="","",IF(ISNUMBER(I84),IF(I84&lt;=60,"OK","VIOLADO"),"Sem contacto"))</f>
        <v/>
      </c>
      <c r="K84" s="13"/>
      <c r="L84" s="13"/>
    </row>
    <row r="85" customFormat="false" ht="15" hidden="false" customHeight="false" outlineLevel="0" collapsed="false">
      <c r="A85" s="12"/>
      <c r="B85" s="12"/>
      <c r="C85" s="12"/>
      <c r="D85" s="12"/>
      <c r="E85" s="23"/>
      <c r="F85" s="13"/>
      <c r="G85" s="23"/>
      <c r="H85" s="13"/>
      <c r="I85" s="15" t="str">
        <f aca="false">IF(AND(ISNUMBER(E85),ISNUMBER(G85)),(G85-E85)*1440,"")</f>
        <v/>
      </c>
      <c r="J85" s="13" t="str">
        <f aca="false">IF(E85="","",IF(ISNUMBER(I85),IF(I85&lt;=60,"OK","VIOLADO"),"Sem contacto"))</f>
        <v/>
      </c>
      <c r="K85" s="13"/>
      <c r="L85" s="13"/>
    </row>
    <row r="86" customFormat="false" ht="15" hidden="false" customHeight="false" outlineLevel="0" collapsed="false">
      <c r="A86" s="12"/>
      <c r="B86" s="12"/>
      <c r="C86" s="12"/>
      <c r="D86" s="12"/>
      <c r="E86" s="23"/>
      <c r="F86" s="13"/>
      <c r="G86" s="23"/>
      <c r="H86" s="13"/>
      <c r="I86" s="15" t="str">
        <f aca="false">IF(AND(ISNUMBER(E86),ISNUMBER(G86)),(G86-E86)*1440,"")</f>
        <v/>
      </c>
      <c r="J86" s="13" t="str">
        <f aca="false">IF(E86="","",IF(ISNUMBER(I86),IF(I86&lt;=60,"OK","VIOLADO"),"Sem contacto"))</f>
        <v/>
      </c>
      <c r="K86" s="13"/>
      <c r="L86" s="13"/>
    </row>
    <row r="87" customFormat="false" ht="15" hidden="false" customHeight="false" outlineLevel="0" collapsed="false">
      <c r="A87" s="12"/>
      <c r="B87" s="12"/>
      <c r="C87" s="12"/>
      <c r="D87" s="12"/>
      <c r="E87" s="23"/>
      <c r="F87" s="13"/>
      <c r="G87" s="23"/>
      <c r="H87" s="13"/>
      <c r="I87" s="15" t="str">
        <f aca="false">IF(AND(ISNUMBER(E87),ISNUMBER(G87)),(G87-E87)*1440,"")</f>
        <v/>
      </c>
      <c r="J87" s="13" t="str">
        <f aca="false">IF(E87="","",IF(ISNUMBER(I87),IF(I87&lt;=60,"OK","VIOLADO"),"Sem contacto"))</f>
        <v/>
      </c>
      <c r="K87" s="13"/>
      <c r="L87" s="13"/>
    </row>
    <row r="88" customFormat="false" ht="15" hidden="false" customHeight="false" outlineLevel="0" collapsed="false">
      <c r="A88" s="12"/>
      <c r="B88" s="12"/>
      <c r="C88" s="12"/>
      <c r="D88" s="12"/>
      <c r="E88" s="23"/>
      <c r="F88" s="13"/>
      <c r="G88" s="23"/>
      <c r="H88" s="13"/>
      <c r="I88" s="15" t="str">
        <f aca="false">IF(AND(ISNUMBER(E88),ISNUMBER(G88)),(G88-E88)*1440,"")</f>
        <v/>
      </c>
      <c r="J88" s="13" t="str">
        <f aca="false">IF(E88="","",IF(ISNUMBER(I88),IF(I88&lt;=60,"OK","VIOLADO"),"Sem contacto"))</f>
        <v/>
      </c>
      <c r="K88" s="13"/>
      <c r="L88" s="13"/>
    </row>
    <row r="89" customFormat="false" ht="15" hidden="false" customHeight="false" outlineLevel="0" collapsed="false">
      <c r="A89" s="12"/>
      <c r="B89" s="12"/>
      <c r="C89" s="12"/>
      <c r="D89" s="12"/>
      <c r="E89" s="23"/>
      <c r="F89" s="13"/>
      <c r="G89" s="23"/>
      <c r="H89" s="13"/>
      <c r="I89" s="15" t="str">
        <f aca="false">IF(AND(ISNUMBER(E89),ISNUMBER(G89)),(G89-E89)*1440,"")</f>
        <v/>
      </c>
      <c r="J89" s="13" t="str">
        <f aca="false">IF(E89="","",IF(ISNUMBER(I89),IF(I89&lt;=60,"OK","VIOLADO"),"Sem contacto"))</f>
        <v/>
      </c>
      <c r="K89" s="13"/>
      <c r="L89" s="13"/>
    </row>
    <row r="90" customFormat="false" ht="15" hidden="false" customHeight="false" outlineLevel="0" collapsed="false">
      <c r="A90" s="12"/>
      <c r="B90" s="12"/>
      <c r="C90" s="12"/>
      <c r="D90" s="12"/>
      <c r="E90" s="23"/>
      <c r="F90" s="13"/>
      <c r="G90" s="23"/>
      <c r="H90" s="13"/>
      <c r="I90" s="15" t="str">
        <f aca="false">IF(AND(ISNUMBER(E90),ISNUMBER(G90)),(G90-E90)*1440,"")</f>
        <v/>
      </c>
      <c r="J90" s="13" t="str">
        <f aca="false">IF(E90="","",IF(ISNUMBER(I90),IF(I90&lt;=60,"OK","VIOLADO"),"Sem contacto"))</f>
        <v/>
      </c>
      <c r="K90" s="13"/>
      <c r="L90" s="13"/>
    </row>
    <row r="91" customFormat="false" ht="15" hidden="false" customHeight="false" outlineLevel="0" collapsed="false">
      <c r="A91" s="12"/>
      <c r="B91" s="12"/>
      <c r="C91" s="12"/>
      <c r="D91" s="12"/>
      <c r="E91" s="23"/>
      <c r="F91" s="13"/>
      <c r="G91" s="23"/>
      <c r="H91" s="13"/>
      <c r="I91" s="15" t="str">
        <f aca="false">IF(AND(ISNUMBER(E91),ISNUMBER(G91)),(G91-E91)*1440,"")</f>
        <v/>
      </c>
      <c r="J91" s="13" t="str">
        <f aca="false">IF(E91="","",IF(ISNUMBER(I91),IF(I91&lt;=60,"OK","VIOLADO"),"Sem contacto"))</f>
        <v/>
      </c>
      <c r="K91" s="13"/>
      <c r="L91" s="13"/>
    </row>
    <row r="92" customFormat="false" ht="15" hidden="false" customHeight="false" outlineLevel="0" collapsed="false">
      <c r="A92" s="12"/>
      <c r="B92" s="12"/>
      <c r="C92" s="12"/>
      <c r="D92" s="12"/>
      <c r="E92" s="23"/>
      <c r="F92" s="13"/>
      <c r="G92" s="23"/>
      <c r="H92" s="13"/>
      <c r="I92" s="15" t="str">
        <f aca="false">IF(AND(ISNUMBER(E92),ISNUMBER(G92)),(G92-E92)*1440,"")</f>
        <v/>
      </c>
      <c r="J92" s="13" t="str">
        <f aca="false">IF(E92="","",IF(ISNUMBER(I92),IF(I92&lt;=60,"OK","VIOLADO"),"Sem contacto"))</f>
        <v/>
      </c>
      <c r="K92" s="13"/>
      <c r="L92" s="13"/>
    </row>
    <row r="93" customFormat="false" ht="15" hidden="false" customHeight="false" outlineLevel="0" collapsed="false">
      <c r="A93" s="12"/>
      <c r="B93" s="12"/>
      <c r="C93" s="12"/>
      <c r="D93" s="12"/>
      <c r="E93" s="23"/>
      <c r="F93" s="13"/>
      <c r="G93" s="23"/>
      <c r="H93" s="13"/>
      <c r="I93" s="15" t="str">
        <f aca="false">IF(AND(ISNUMBER(E93),ISNUMBER(G93)),(G93-E93)*1440,"")</f>
        <v/>
      </c>
      <c r="J93" s="13" t="str">
        <f aca="false">IF(E93="","",IF(ISNUMBER(I93),IF(I93&lt;=60,"OK","VIOLADO"),"Sem contacto"))</f>
        <v/>
      </c>
      <c r="K93" s="13"/>
      <c r="L93" s="13"/>
    </row>
    <row r="94" customFormat="false" ht="15" hidden="false" customHeight="false" outlineLevel="0" collapsed="false">
      <c r="A94" s="12"/>
      <c r="B94" s="12"/>
      <c r="C94" s="12"/>
      <c r="D94" s="12"/>
      <c r="E94" s="23"/>
      <c r="F94" s="13"/>
      <c r="G94" s="23"/>
      <c r="H94" s="13"/>
      <c r="I94" s="15" t="str">
        <f aca="false">IF(AND(ISNUMBER(E94),ISNUMBER(G94)),(G94-E94)*1440,"")</f>
        <v/>
      </c>
      <c r="J94" s="13" t="str">
        <f aca="false">IF(E94="","",IF(ISNUMBER(I94),IF(I94&lt;=60,"OK","VIOLADO"),"Sem contacto"))</f>
        <v/>
      </c>
      <c r="K94" s="13"/>
      <c r="L94" s="13"/>
    </row>
    <row r="95" customFormat="false" ht="15" hidden="false" customHeight="false" outlineLevel="0" collapsed="false">
      <c r="A95" s="12"/>
      <c r="B95" s="12"/>
      <c r="C95" s="12"/>
      <c r="D95" s="12"/>
      <c r="E95" s="23"/>
      <c r="F95" s="13"/>
      <c r="G95" s="23"/>
      <c r="H95" s="13"/>
      <c r="I95" s="15" t="str">
        <f aca="false">IF(AND(ISNUMBER(E95),ISNUMBER(G95)),(G95-E95)*1440,"")</f>
        <v/>
      </c>
      <c r="J95" s="13" t="str">
        <f aca="false">IF(E95="","",IF(ISNUMBER(I95),IF(I95&lt;=60,"OK","VIOLADO"),"Sem contacto"))</f>
        <v/>
      </c>
      <c r="K95" s="13"/>
      <c r="L95" s="13"/>
    </row>
    <row r="96" customFormat="false" ht="15" hidden="false" customHeight="false" outlineLevel="0" collapsed="false">
      <c r="A96" s="12"/>
      <c r="B96" s="12"/>
      <c r="C96" s="12"/>
      <c r="D96" s="12"/>
      <c r="E96" s="23"/>
      <c r="F96" s="13"/>
      <c r="G96" s="23"/>
      <c r="H96" s="13"/>
      <c r="I96" s="15" t="str">
        <f aca="false">IF(AND(ISNUMBER(E96),ISNUMBER(G96)),(G96-E96)*1440,"")</f>
        <v/>
      </c>
      <c r="J96" s="13" t="str">
        <f aca="false">IF(E96="","",IF(ISNUMBER(I96),IF(I96&lt;=60,"OK","VIOLADO"),"Sem contacto"))</f>
        <v/>
      </c>
      <c r="K96" s="13"/>
      <c r="L96" s="13"/>
    </row>
    <row r="97" customFormat="false" ht="15" hidden="false" customHeight="false" outlineLevel="0" collapsed="false">
      <c r="A97" s="12"/>
      <c r="B97" s="12"/>
      <c r="C97" s="12"/>
      <c r="D97" s="12"/>
      <c r="E97" s="23"/>
      <c r="F97" s="13"/>
      <c r="G97" s="23"/>
      <c r="H97" s="13"/>
      <c r="I97" s="15" t="str">
        <f aca="false">IF(AND(ISNUMBER(E97),ISNUMBER(G97)),(G97-E97)*1440,"")</f>
        <v/>
      </c>
      <c r="J97" s="13" t="str">
        <f aca="false">IF(E97="","",IF(ISNUMBER(I97),IF(I97&lt;=60,"OK","VIOLADO"),"Sem contacto"))</f>
        <v/>
      </c>
      <c r="K97" s="13"/>
      <c r="L97" s="13"/>
    </row>
    <row r="98" customFormat="false" ht="15" hidden="false" customHeight="false" outlineLevel="0" collapsed="false">
      <c r="A98" s="12"/>
      <c r="B98" s="12"/>
      <c r="C98" s="12"/>
      <c r="D98" s="12"/>
      <c r="E98" s="23"/>
      <c r="F98" s="13"/>
      <c r="G98" s="23"/>
      <c r="H98" s="13"/>
      <c r="I98" s="15" t="str">
        <f aca="false">IF(AND(ISNUMBER(E98),ISNUMBER(G98)),(G98-E98)*1440,"")</f>
        <v/>
      </c>
      <c r="J98" s="13" t="str">
        <f aca="false">IF(E98="","",IF(ISNUMBER(I98),IF(I98&lt;=60,"OK","VIOLADO"),"Sem contacto"))</f>
        <v/>
      </c>
      <c r="K98" s="13"/>
      <c r="L98" s="13"/>
    </row>
    <row r="99" customFormat="false" ht="15" hidden="false" customHeight="false" outlineLevel="0" collapsed="false">
      <c r="A99" s="12"/>
      <c r="B99" s="12"/>
      <c r="C99" s="12"/>
      <c r="D99" s="12"/>
      <c r="E99" s="23"/>
      <c r="F99" s="13"/>
      <c r="G99" s="23"/>
      <c r="H99" s="13"/>
      <c r="I99" s="15" t="str">
        <f aca="false">IF(AND(ISNUMBER(E99),ISNUMBER(G99)),(G99-E99)*1440,"")</f>
        <v/>
      </c>
      <c r="J99" s="13" t="str">
        <f aca="false">IF(E99="","",IF(ISNUMBER(I99),IF(I99&lt;=60,"OK","VIOLADO"),"Sem contacto"))</f>
        <v/>
      </c>
      <c r="K99" s="13"/>
      <c r="L99" s="13"/>
    </row>
    <row r="100" customFormat="false" ht="15" hidden="false" customHeight="false" outlineLevel="0" collapsed="false">
      <c r="A100" s="12"/>
      <c r="B100" s="12"/>
      <c r="C100" s="12"/>
      <c r="D100" s="12"/>
      <c r="E100" s="23"/>
      <c r="F100" s="13"/>
      <c r="G100" s="23"/>
      <c r="H100" s="13"/>
      <c r="I100" s="15" t="str">
        <f aca="false">IF(AND(ISNUMBER(E100),ISNUMBER(G100)),(G100-E100)*1440,"")</f>
        <v/>
      </c>
      <c r="J100" s="13" t="str">
        <f aca="false">IF(E100="","",IF(ISNUMBER(I100),IF(I100&lt;=60,"OK","VIOLADO"),"Sem contacto"))</f>
        <v/>
      </c>
      <c r="K100" s="13"/>
      <c r="L100" s="13"/>
    </row>
    <row r="101" customFormat="false" ht="15" hidden="false" customHeight="false" outlineLevel="0" collapsed="false">
      <c r="A101" s="12"/>
      <c r="B101" s="12"/>
      <c r="C101" s="12"/>
      <c r="D101" s="12"/>
      <c r="E101" s="23"/>
      <c r="F101" s="13"/>
      <c r="G101" s="23"/>
      <c r="H101" s="13"/>
      <c r="I101" s="15" t="str">
        <f aca="false">IF(AND(ISNUMBER(E101),ISNUMBER(G101)),(G101-E101)*1440,"")</f>
        <v/>
      </c>
      <c r="J101" s="13" t="str">
        <f aca="false">IF(E101="","",IF(ISNUMBER(I101),IF(I101&lt;=60,"OK","VIOLADO"),"Sem contacto"))</f>
        <v/>
      </c>
      <c r="K101" s="13"/>
      <c r="L101" s="13"/>
    </row>
    <row r="102" customFormat="false" ht="15" hidden="false" customHeight="false" outlineLevel="0" collapsed="false">
      <c r="A102" s="12"/>
      <c r="B102" s="12"/>
      <c r="C102" s="12"/>
      <c r="D102" s="12"/>
      <c r="E102" s="23"/>
      <c r="F102" s="13"/>
      <c r="G102" s="23"/>
      <c r="H102" s="13"/>
      <c r="I102" s="15" t="str">
        <f aca="false">IF(AND(ISNUMBER(E102),ISNUMBER(G102)),(G102-E102)*1440,"")</f>
        <v/>
      </c>
      <c r="J102" s="13" t="str">
        <f aca="false">IF(E102="","",IF(ISNUMBER(I102),IF(I102&lt;=60,"OK","VIOLADO"),"Sem contacto"))</f>
        <v/>
      </c>
      <c r="K102" s="13"/>
      <c r="L102" s="13"/>
    </row>
    <row r="103" customFormat="false" ht="15" hidden="false" customHeight="false" outlineLevel="0" collapsed="false">
      <c r="A103" s="12"/>
      <c r="B103" s="12"/>
      <c r="C103" s="12"/>
      <c r="D103" s="12"/>
      <c r="E103" s="23"/>
      <c r="F103" s="13"/>
      <c r="G103" s="23"/>
      <c r="H103" s="13"/>
      <c r="I103" s="15" t="str">
        <f aca="false">IF(AND(ISNUMBER(E103),ISNUMBER(G103)),(G103-E103)*1440,"")</f>
        <v/>
      </c>
      <c r="J103" s="13" t="str">
        <f aca="false">IF(E103="","",IF(ISNUMBER(I103),IF(I103&lt;=60,"OK","VIOLADO"),"Sem contacto"))</f>
        <v/>
      </c>
      <c r="K103" s="13"/>
      <c r="L103" s="13"/>
    </row>
    <row r="104" customFormat="false" ht="15" hidden="false" customHeight="false" outlineLevel="0" collapsed="false">
      <c r="A104" s="12"/>
      <c r="B104" s="12"/>
      <c r="C104" s="12"/>
      <c r="D104" s="12"/>
      <c r="E104" s="23"/>
      <c r="F104" s="13"/>
      <c r="G104" s="23"/>
      <c r="H104" s="13"/>
      <c r="I104" s="15" t="str">
        <f aca="false">IF(AND(ISNUMBER(E104),ISNUMBER(G104)),(G104-E104)*1440,"")</f>
        <v/>
      </c>
      <c r="J104" s="13" t="str">
        <f aca="false">IF(E104="","",IF(ISNUMBER(I104),IF(I104&lt;=60,"OK","VIOLADO"),"Sem contacto"))</f>
        <v/>
      </c>
      <c r="K104" s="13"/>
      <c r="L104" s="13"/>
    </row>
    <row r="105" customFormat="false" ht="15" hidden="false" customHeight="false" outlineLevel="0" collapsed="false">
      <c r="A105" s="12"/>
      <c r="B105" s="12"/>
      <c r="C105" s="12"/>
      <c r="D105" s="12"/>
      <c r="E105" s="23"/>
      <c r="F105" s="13"/>
      <c r="G105" s="23"/>
      <c r="H105" s="13"/>
      <c r="I105" s="15" t="str">
        <f aca="false">IF(AND(ISNUMBER(E105),ISNUMBER(G105)),(G105-E105)*1440,"")</f>
        <v/>
      </c>
      <c r="J105" s="13" t="str">
        <f aca="false">IF(E105="","",IF(ISNUMBER(I105),IF(I105&lt;=60,"OK","VIOLADO"),"Sem contacto"))</f>
        <v/>
      </c>
      <c r="K105" s="13"/>
      <c r="L105" s="13"/>
    </row>
    <row r="106" customFormat="false" ht="15" hidden="false" customHeight="false" outlineLevel="0" collapsed="false">
      <c r="A106" s="12"/>
      <c r="B106" s="12"/>
      <c r="C106" s="12"/>
      <c r="D106" s="12"/>
      <c r="E106" s="23"/>
      <c r="F106" s="13"/>
      <c r="G106" s="23"/>
      <c r="H106" s="13"/>
      <c r="I106" s="15" t="str">
        <f aca="false">IF(AND(ISNUMBER(E106),ISNUMBER(G106)),(G106-E106)*1440,"")</f>
        <v/>
      </c>
      <c r="J106" s="13" t="str">
        <f aca="false">IF(E106="","",IF(ISNUMBER(I106),IF(I106&lt;=60,"OK","VIOLADO"),"Sem contacto"))</f>
        <v/>
      </c>
      <c r="K106" s="13"/>
      <c r="L106" s="13"/>
    </row>
    <row r="107" customFormat="false" ht="15" hidden="false" customHeight="false" outlineLevel="0" collapsed="false">
      <c r="A107" s="12"/>
      <c r="B107" s="12"/>
      <c r="C107" s="12"/>
      <c r="D107" s="12"/>
      <c r="E107" s="23"/>
      <c r="F107" s="13"/>
      <c r="G107" s="23"/>
      <c r="H107" s="13"/>
      <c r="I107" s="15" t="str">
        <f aca="false">IF(AND(ISNUMBER(E107),ISNUMBER(G107)),(G107-E107)*1440,"")</f>
        <v/>
      </c>
      <c r="J107" s="13" t="str">
        <f aca="false">IF(E107="","",IF(ISNUMBER(I107),IF(I107&lt;=60,"OK","VIOLADO"),"Sem contacto"))</f>
        <v/>
      </c>
      <c r="K107" s="13"/>
      <c r="L107" s="13"/>
    </row>
    <row r="108" customFormat="false" ht="15" hidden="false" customHeight="false" outlineLevel="0" collapsed="false">
      <c r="A108" s="12"/>
      <c r="B108" s="12"/>
      <c r="C108" s="12"/>
      <c r="D108" s="12"/>
      <c r="E108" s="23"/>
      <c r="F108" s="13"/>
      <c r="G108" s="23"/>
      <c r="H108" s="13"/>
      <c r="I108" s="15" t="str">
        <f aca="false">IF(AND(ISNUMBER(E108),ISNUMBER(G108)),(G108-E108)*1440,"")</f>
        <v/>
      </c>
      <c r="J108" s="13" t="str">
        <f aca="false">IF(E108="","",IF(ISNUMBER(I108),IF(I108&lt;=60,"OK","VIOLADO"),"Sem contacto"))</f>
        <v/>
      </c>
      <c r="K108" s="13"/>
      <c r="L108" s="13"/>
    </row>
    <row r="109" customFormat="false" ht="15" hidden="false" customHeight="false" outlineLevel="0" collapsed="false">
      <c r="A109" s="12"/>
      <c r="B109" s="12"/>
      <c r="C109" s="12"/>
      <c r="D109" s="12"/>
      <c r="E109" s="23"/>
      <c r="F109" s="13"/>
      <c r="G109" s="23"/>
      <c r="H109" s="13"/>
      <c r="I109" s="15" t="str">
        <f aca="false">IF(AND(ISNUMBER(E109),ISNUMBER(G109)),(G109-E109)*1440,"")</f>
        <v/>
      </c>
      <c r="J109" s="13" t="str">
        <f aca="false">IF(E109="","",IF(ISNUMBER(I109),IF(I109&lt;=60,"OK","VIOLADO"),"Sem contacto"))</f>
        <v/>
      </c>
      <c r="K109" s="13"/>
      <c r="L109" s="13"/>
    </row>
    <row r="110" customFormat="false" ht="15" hidden="false" customHeight="false" outlineLevel="0" collapsed="false">
      <c r="A110" s="12"/>
      <c r="B110" s="12"/>
      <c r="C110" s="12"/>
      <c r="D110" s="12"/>
      <c r="E110" s="23"/>
      <c r="F110" s="13"/>
      <c r="G110" s="23"/>
      <c r="H110" s="13"/>
      <c r="I110" s="15" t="str">
        <f aca="false">IF(AND(ISNUMBER(E110),ISNUMBER(G110)),(G110-E110)*1440,"")</f>
        <v/>
      </c>
      <c r="J110" s="13" t="str">
        <f aca="false">IF(E110="","",IF(ISNUMBER(I110),IF(I110&lt;=60,"OK","VIOLADO"),"Sem contacto"))</f>
        <v/>
      </c>
      <c r="K110" s="13"/>
      <c r="L110" s="13"/>
    </row>
    <row r="111" customFormat="false" ht="15" hidden="false" customHeight="false" outlineLevel="0" collapsed="false">
      <c r="A111" s="12"/>
      <c r="B111" s="12"/>
      <c r="C111" s="12"/>
      <c r="D111" s="12"/>
      <c r="E111" s="23"/>
      <c r="F111" s="13"/>
      <c r="G111" s="23"/>
      <c r="H111" s="13"/>
      <c r="I111" s="15" t="str">
        <f aca="false">IF(AND(ISNUMBER(E111),ISNUMBER(G111)),(G111-E111)*1440,"")</f>
        <v/>
      </c>
      <c r="J111" s="13" t="str">
        <f aca="false">IF(E111="","",IF(ISNUMBER(I111),IF(I111&lt;=60,"OK","VIOLADO"),"Sem contacto"))</f>
        <v/>
      </c>
      <c r="K111" s="13"/>
      <c r="L111" s="13"/>
    </row>
    <row r="112" customFormat="false" ht="15" hidden="false" customHeight="false" outlineLevel="0" collapsed="false">
      <c r="A112" s="12"/>
      <c r="B112" s="12"/>
      <c r="C112" s="12"/>
      <c r="D112" s="12"/>
      <c r="E112" s="23"/>
      <c r="F112" s="13"/>
      <c r="G112" s="23"/>
      <c r="H112" s="13"/>
      <c r="I112" s="15" t="str">
        <f aca="false">IF(AND(ISNUMBER(E112),ISNUMBER(G112)),(G112-E112)*1440,"")</f>
        <v/>
      </c>
      <c r="J112" s="13" t="str">
        <f aca="false">IF(E112="","",IF(ISNUMBER(I112),IF(I112&lt;=60,"OK","VIOLADO"),"Sem contacto"))</f>
        <v/>
      </c>
      <c r="K112" s="13"/>
      <c r="L112" s="13"/>
    </row>
    <row r="113" customFormat="false" ht="15" hidden="false" customHeight="false" outlineLevel="0" collapsed="false">
      <c r="A113" s="12"/>
      <c r="B113" s="12"/>
      <c r="C113" s="12"/>
      <c r="D113" s="12"/>
      <c r="E113" s="23"/>
      <c r="F113" s="13"/>
      <c r="G113" s="23"/>
      <c r="H113" s="13"/>
      <c r="I113" s="15" t="str">
        <f aca="false">IF(AND(ISNUMBER(E113),ISNUMBER(G113)),(G113-E113)*1440,"")</f>
        <v/>
      </c>
      <c r="J113" s="13" t="str">
        <f aca="false">IF(E113="","",IF(ISNUMBER(I113),IF(I113&lt;=60,"OK","VIOLADO"),"Sem contacto"))</f>
        <v/>
      </c>
      <c r="K113" s="13"/>
      <c r="L113" s="13"/>
    </row>
    <row r="114" customFormat="false" ht="15" hidden="false" customHeight="false" outlineLevel="0" collapsed="false">
      <c r="A114" s="12"/>
      <c r="B114" s="12"/>
      <c r="C114" s="12"/>
      <c r="D114" s="12"/>
      <c r="E114" s="23"/>
      <c r="F114" s="13"/>
      <c r="G114" s="23"/>
      <c r="H114" s="13"/>
      <c r="I114" s="15" t="str">
        <f aca="false">IF(AND(ISNUMBER(E114),ISNUMBER(G114)),(G114-E114)*1440,"")</f>
        <v/>
      </c>
      <c r="J114" s="13" t="str">
        <f aca="false">IF(E114="","",IF(ISNUMBER(I114),IF(I114&lt;=60,"OK","VIOLADO"),"Sem contacto"))</f>
        <v/>
      </c>
      <c r="K114" s="13"/>
      <c r="L114" s="13"/>
    </row>
    <row r="115" customFormat="false" ht="15" hidden="false" customHeight="false" outlineLevel="0" collapsed="false">
      <c r="A115" s="12"/>
      <c r="B115" s="12"/>
      <c r="C115" s="12"/>
      <c r="D115" s="12"/>
      <c r="E115" s="23"/>
      <c r="F115" s="13"/>
      <c r="G115" s="23"/>
      <c r="H115" s="13"/>
      <c r="I115" s="15" t="str">
        <f aca="false">IF(AND(ISNUMBER(E115),ISNUMBER(G115)),(G115-E115)*1440,"")</f>
        <v/>
      </c>
      <c r="J115" s="13" t="str">
        <f aca="false">IF(E115="","",IF(ISNUMBER(I115),IF(I115&lt;=60,"OK","VIOLADO"),"Sem contacto"))</f>
        <v/>
      </c>
      <c r="K115" s="13"/>
      <c r="L115" s="13"/>
    </row>
    <row r="116" customFormat="false" ht="15" hidden="false" customHeight="false" outlineLevel="0" collapsed="false">
      <c r="A116" s="12"/>
      <c r="B116" s="12"/>
      <c r="C116" s="12"/>
      <c r="D116" s="12"/>
      <c r="E116" s="23"/>
      <c r="F116" s="13"/>
      <c r="G116" s="23"/>
      <c r="H116" s="13"/>
      <c r="I116" s="15" t="str">
        <f aca="false">IF(AND(ISNUMBER(E116),ISNUMBER(G116)),(G116-E116)*1440,"")</f>
        <v/>
      </c>
      <c r="J116" s="13" t="str">
        <f aca="false">IF(E116="","",IF(ISNUMBER(I116),IF(I116&lt;=60,"OK","VIOLADO"),"Sem contacto"))</f>
        <v/>
      </c>
      <c r="K116" s="13"/>
      <c r="L116" s="13"/>
    </row>
    <row r="117" customFormat="false" ht="15" hidden="false" customHeight="false" outlineLevel="0" collapsed="false">
      <c r="A117" s="12"/>
      <c r="B117" s="12"/>
      <c r="C117" s="12"/>
      <c r="D117" s="12"/>
      <c r="E117" s="23"/>
      <c r="F117" s="13"/>
      <c r="G117" s="23"/>
      <c r="H117" s="13"/>
      <c r="I117" s="15" t="str">
        <f aca="false">IF(AND(ISNUMBER(E117),ISNUMBER(G117)),(G117-E117)*1440,"")</f>
        <v/>
      </c>
      <c r="J117" s="13" t="str">
        <f aca="false">IF(E117="","",IF(ISNUMBER(I117),IF(I117&lt;=60,"OK","VIOLADO"),"Sem contacto"))</f>
        <v/>
      </c>
      <c r="K117" s="13"/>
      <c r="L117" s="13"/>
    </row>
    <row r="118" customFormat="false" ht="15" hidden="false" customHeight="false" outlineLevel="0" collapsed="false">
      <c r="A118" s="12"/>
      <c r="B118" s="12"/>
      <c r="C118" s="12"/>
      <c r="D118" s="12"/>
      <c r="E118" s="23"/>
      <c r="F118" s="13"/>
      <c r="G118" s="23"/>
      <c r="H118" s="13"/>
      <c r="I118" s="15" t="str">
        <f aca="false">IF(AND(ISNUMBER(E118),ISNUMBER(G118)),(G118-E118)*1440,"")</f>
        <v/>
      </c>
      <c r="J118" s="13" t="str">
        <f aca="false">IF(E118="","",IF(ISNUMBER(I118),IF(I118&lt;=60,"OK","VIOLADO"),"Sem contacto"))</f>
        <v/>
      </c>
      <c r="K118" s="13"/>
      <c r="L118" s="13"/>
    </row>
    <row r="119" customFormat="false" ht="15" hidden="false" customHeight="false" outlineLevel="0" collapsed="false">
      <c r="A119" s="12"/>
      <c r="B119" s="12"/>
      <c r="C119" s="12"/>
      <c r="D119" s="12"/>
      <c r="E119" s="23"/>
      <c r="F119" s="13"/>
      <c r="G119" s="23"/>
      <c r="H119" s="13"/>
      <c r="I119" s="15" t="str">
        <f aca="false">IF(AND(ISNUMBER(E119),ISNUMBER(G119)),(G119-E119)*1440,"")</f>
        <v/>
      </c>
      <c r="J119" s="13" t="str">
        <f aca="false">IF(E119="","",IF(ISNUMBER(I119),IF(I119&lt;=60,"OK","VIOLADO"),"Sem contacto"))</f>
        <v/>
      </c>
      <c r="K119" s="13"/>
      <c r="L119" s="13"/>
    </row>
    <row r="120" customFormat="false" ht="15" hidden="false" customHeight="false" outlineLevel="0" collapsed="false">
      <c r="A120" s="12"/>
      <c r="B120" s="12"/>
      <c r="C120" s="12"/>
      <c r="D120" s="12"/>
      <c r="E120" s="23"/>
      <c r="F120" s="13"/>
      <c r="G120" s="23"/>
      <c r="H120" s="13"/>
      <c r="I120" s="15" t="str">
        <f aca="false">IF(AND(ISNUMBER(E120),ISNUMBER(G120)),(G120-E120)*1440,"")</f>
        <v/>
      </c>
      <c r="J120" s="13" t="str">
        <f aca="false">IF(E120="","",IF(ISNUMBER(I120),IF(I120&lt;=60,"OK","VIOLADO"),"Sem contacto"))</f>
        <v/>
      </c>
      <c r="K120" s="13"/>
      <c r="L120" s="13"/>
    </row>
    <row r="121" customFormat="false" ht="15" hidden="false" customHeight="false" outlineLevel="0" collapsed="false">
      <c r="A121" s="12"/>
      <c r="B121" s="12"/>
      <c r="C121" s="12"/>
      <c r="D121" s="12"/>
      <c r="E121" s="23"/>
      <c r="F121" s="13"/>
      <c r="G121" s="23"/>
      <c r="H121" s="13"/>
      <c r="I121" s="15" t="str">
        <f aca="false">IF(AND(ISNUMBER(E121),ISNUMBER(G121)),(G121-E121)*1440,"")</f>
        <v/>
      </c>
      <c r="J121" s="13" t="str">
        <f aca="false">IF(E121="","",IF(ISNUMBER(I121),IF(I121&lt;=60,"OK","VIOLADO"),"Sem contacto"))</f>
        <v/>
      </c>
      <c r="K121" s="13"/>
      <c r="L121" s="13"/>
    </row>
    <row r="122" customFormat="false" ht="15" hidden="false" customHeight="false" outlineLevel="0" collapsed="false">
      <c r="A122" s="12"/>
      <c r="B122" s="12"/>
      <c r="C122" s="12"/>
      <c r="D122" s="12"/>
      <c r="E122" s="23"/>
      <c r="F122" s="13"/>
      <c r="G122" s="23"/>
      <c r="H122" s="13"/>
      <c r="I122" s="15" t="str">
        <f aca="false">IF(AND(ISNUMBER(E122),ISNUMBER(G122)),(G122-E122)*1440,"")</f>
        <v/>
      </c>
      <c r="J122" s="13" t="str">
        <f aca="false">IF(E122="","",IF(ISNUMBER(I122),IF(I122&lt;=60,"OK","VIOLADO"),"Sem contacto"))</f>
        <v/>
      </c>
      <c r="K122" s="13"/>
      <c r="L122" s="13"/>
    </row>
    <row r="123" customFormat="false" ht="15" hidden="false" customHeight="false" outlineLevel="0" collapsed="false">
      <c r="A123" s="12"/>
      <c r="B123" s="12"/>
      <c r="C123" s="12"/>
      <c r="D123" s="12"/>
      <c r="E123" s="23"/>
      <c r="F123" s="13"/>
      <c r="G123" s="23"/>
      <c r="H123" s="13"/>
      <c r="I123" s="15" t="str">
        <f aca="false">IF(AND(ISNUMBER(E123),ISNUMBER(G123)),(G123-E123)*1440,"")</f>
        <v/>
      </c>
      <c r="J123" s="13" t="str">
        <f aca="false">IF(E123="","",IF(ISNUMBER(I123),IF(I123&lt;=60,"OK","VIOLADO"),"Sem contacto"))</f>
        <v/>
      </c>
      <c r="K123" s="13"/>
      <c r="L123" s="13"/>
    </row>
    <row r="124" customFormat="false" ht="15" hidden="false" customHeight="false" outlineLevel="0" collapsed="false">
      <c r="A124" s="12"/>
      <c r="B124" s="12"/>
      <c r="C124" s="12"/>
      <c r="D124" s="12"/>
      <c r="E124" s="23"/>
      <c r="F124" s="13"/>
      <c r="G124" s="23"/>
      <c r="H124" s="13"/>
      <c r="I124" s="15" t="str">
        <f aca="false">IF(AND(ISNUMBER(E124),ISNUMBER(G124)),(G124-E124)*1440,"")</f>
        <v/>
      </c>
      <c r="J124" s="13" t="str">
        <f aca="false">IF(E124="","",IF(ISNUMBER(I124),IF(I124&lt;=60,"OK","VIOLADO"),"Sem contacto"))</f>
        <v/>
      </c>
      <c r="K124" s="13"/>
      <c r="L124" s="13"/>
    </row>
    <row r="125" customFormat="false" ht="15" hidden="false" customHeight="false" outlineLevel="0" collapsed="false">
      <c r="A125" s="12"/>
      <c r="B125" s="12"/>
      <c r="C125" s="12"/>
      <c r="D125" s="12"/>
      <c r="E125" s="23"/>
      <c r="F125" s="13"/>
      <c r="G125" s="23"/>
      <c r="H125" s="13"/>
      <c r="I125" s="15" t="str">
        <f aca="false">IF(AND(ISNUMBER(E125),ISNUMBER(G125)),(G125-E125)*1440,"")</f>
        <v/>
      </c>
      <c r="J125" s="13" t="str">
        <f aca="false">IF(E125="","",IF(ISNUMBER(I125),IF(I125&lt;=60,"OK","VIOLADO"),"Sem contacto"))</f>
        <v/>
      </c>
      <c r="K125" s="13"/>
      <c r="L125" s="13"/>
    </row>
    <row r="126" customFormat="false" ht="15" hidden="false" customHeight="false" outlineLevel="0" collapsed="false">
      <c r="A126" s="12"/>
      <c r="B126" s="12"/>
      <c r="C126" s="12"/>
      <c r="D126" s="12"/>
      <c r="E126" s="23"/>
      <c r="F126" s="13"/>
      <c r="G126" s="23"/>
      <c r="H126" s="13"/>
      <c r="I126" s="15" t="str">
        <f aca="false">IF(AND(ISNUMBER(E126),ISNUMBER(G126)),(G126-E126)*1440,"")</f>
        <v/>
      </c>
      <c r="J126" s="13" t="str">
        <f aca="false">IF(E126="","",IF(ISNUMBER(I126),IF(I126&lt;=60,"OK","VIOLADO"),"Sem contacto"))</f>
        <v/>
      </c>
      <c r="K126" s="13"/>
      <c r="L126" s="13"/>
    </row>
    <row r="127" customFormat="false" ht="15" hidden="false" customHeight="false" outlineLevel="0" collapsed="false">
      <c r="A127" s="12"/>
      <c r="B127" s="12"/>
      <c r="C127" s="12"/>
      <c r="D127" s="12"/>
      <c r="E127" s="23"/>
      <c r="F127" s="13"/>
      <c r="G127" s="23"/>
      <c r="H127" s="13"/>
      <c r="I127" s="15" t="str">
        <f aca="false">IF(AND(ISNUMBER(E127),ISNUMBER(G127)),(G127-E127)*1440,"")</f>
        <v/>
      </c>
      <c r="J127" s="13" t="str">
        <f aca="false">IF(E127="","",IF(ISNUMBER(I127),IF(I127&lt;=60,"OK","VIOLADO"),"Sem contacto"))</f>
        <v/>
      </c>
      <c r="K127" s="13"/>
      <c r="L127" s="13"/>
    </row>
    <row r="128" customFormat="false" ht="15" hidden="false" customHeight="false" outlineLevel="0" collapsed="false">
      <c r="A128" s="12"/>
      <c r="B128" s="12"/>
      <c r="C128" s="12"/>
      <c r="D128" s="12"/>
      <c r="E128" s="23"/>
      <c r="F128" s="13"/>
      <c r="G128" s="23"/>
      <c r="H128" s="13"/>
      <c r="I128" s="15" t="str">
        <f aca="false">IF(AND(ISNUMBER(E128),ISNUMBER(G128)),(G128-E128)*1440,"")</f>
        <v/>
      </c>
      <c r="J128" s="13" t="str">
        <f aca="false">IF(E128="","",IF(ISNUMBER(I128),IF(I128&lt;=60,"OK","VIOLADO"),"Sem contacto"))</f>
        <v/>
      </c>
      <c r="K128" s="13"/>
      <c r="L128" s="13"/>
    </row>
    <row r="129" customFormat="false" ht="15" hidden="false" customHeight="false" outlineLevel="0" collapsed="false">
      <c r="A129" s="12"/>
      <c r="B129" s="12"/>
      <c r="C129" s="12"/>
      <c r="D129" s="12"/>
      <c r="E129" s="23"/>
      <c r="F129" s="13"/>
      <c r="G129" s="23"/>
      <c r="H129" s="13"/>
      <c r="I129" s="15" t="str">
        <f aca="false">IF(AND(ISNUMBER(E129),ISNUMBER(G129)),(G129-E129)*1440,"")</f>
        <v/>
      </c>
      <c r="J129" s="13" t="str">
        <f aca="false">IF(E129="","",IF(ISNUMBER(I129),IF(I129&lt;=60,"OK","VIOLADO"),"Sem contacto"))</f>
        <v/>
      </c>
      <c r="K129" s="13"/>
      <c r="L129" s="13"/>
    </row>
    <row r="130" customFormat="false" ht="15" hidden="false" customHeight="false" outlineLevel="0" collapsed="false">
      <c r="A130" s="12"/>
      <c r="B130" s="12"/>
      <c r="C130" s="12"/>
      <c r="D130" s="12"/>
      <c r="E130" s="23"/>
      <c r="F130" s="13"/>
      <c r="G130" s="23"/>
      <c r="H130" s="13"/>
      <c r="I130" s="15" t="str">
        <f aca="false">IF(AND(ISNUMBER(E130),ISNUMBER(G130)),(G130-E130)*1440,"")</f>
        <v/>
      </c>
      <c r="J130" s="13" t="str">
        <f aca="false">IF(E130="","",IF(ISNUMBER(I130),IF(I130&lt;=60,"OK","VIOLADO"),"Sem contacto"))</f>
        <v/>
      </c>
      <c r="K130" s="13"/>
      <c r="L130" s="13"/>
    </row>
    <row r="131" customFormat="false" ht="15" hidden="false" customHeight="false" outlineLevel="0" collapsed="false">
      <c r="A131" s="12"/>
      <c r="B131" s="12"/>
      <c r="C131" s="12"/>
      <c r="D131" s="12"/>
      <c r="E131" s="23"/>
      <c r="F131" s="13"/>
      <c r="G131" s="23"/>
      <c r="H131" s="13"/>
      <c r="I131" s="15" t="str">
        <f aca="false">IF(AND(ISNUMBER(E131),ISNUMBER(G131)),(G131-E131)*1440,"")</f>
        <v/>
      </c>
      <c r="J131" s="13" t="str">
        <f aca="false">IF(E131="","",IF(ISNUMBER(I131),IF(I131&lt;=60,"OK","VIOLADO"),"Sem contacto"))</f>
        <v/>
      </c>
      <c r="K131" s="13"/>
      <c r="L131" s="13"/>
    </row>
    <row r="132" customFormat="false" ht="15" hidden="false" customHeight="false" outlineLevel="0" collapsed="false">
      <c r="A132" s="12"/>
      <c r="B132" s="12"/>
      <c r="C132" s="12"/>
      <c r="D132" s="12"/>
      <c r="E132" s="23"/>
      <c r="F132" s="13"/>
      <c r="G132" s="23"/>
      <c r="H132" s="13"/>
      <c r="I132" s="15" t="str">
        <f aca="false">IF(AND(ISNUMBER(E132),ISNUMBER(G132)),(G132-E132)*1440,"")</f>
        <v/>
      </c>
      <c r="J132" s="13" t="str">
        <f aca="false">IF(E132="","",IF(ISNUMBER(I132),IF(I132&lt;=60,"OK","VIOLADO"),"Sem contacto"))</f>
        <v/>
      </c>
      <c r="K132" s="13"/>
      <c r="L132" s="13"/>
    </row>
    <row r="133" customFormat="false" ht="15" hidden="false" customHeight="false" outlineLevel="0" collapsed="false">
      <c r="A133" s="12"/>
      <c r="B133" s="12"/>
      <c r="C133" s="12"/>
      <c r="D133" s="12"/>
      <c r="E133" s="23"/>
      <c r="F133" s="13"/>
      <c r="G133" s="23"/>
      <c r="H133" s="13"/>
      <c r="I133" s="15" t="str">
        <f aca="false">IF(AND(ISNUMBER(E133),ISNUMBER(G133)),(G133-E133)*1440,"")</f>
        <v/>
      </c>
      <c r="J133" s="13" t="str">
        <f aca="false">IF(E133="","",IF(ISNUMBER(I133),IF(I133&lt;=60,"OK","VIOLADO"),"Sem contacto"))</f>
        <v/>
      </c>
      <c r="K133" s="13"/>
      <c r="L133" s="13"/>
    </row>
    <row r="134" customFormat="false" ht="15" hidden="false" customHeight="false" outlineLevel="0" collapsed="false">
      <c r="A134" s="12"/>
      <c r="B134" s="12"/>
      <c r="C134" s="12"/>
      <c r="D134" s="12"/>
      <c r="E134" s="23"/>
      <c r="F134" s="13"/>
      <c r="G134" s="23"/>
      <c r="H134" s="13"/>
      <c r="I134" s="15" t="str">
        <f aca="false">IF(AND(ISNUMBER(E134),ISNUMBER(G134)),(G134-E134)*1440,"")</f>
        <v/>
      </c>
      <c r="J134" s="13" t="str">
        <f aca="false">IF(E134="","",IF(ISNUMBER(I134),IF(I134&lt;=60,"OK","VIOLADO"),"Sem contacto"))</f>
        <v/>
      </c>
      <c r="K134" s="13"/>
      <c r="L134" s="13"/>
    </row>
    <row r="135" customFormat="false" ht="15" hidden="false" customHeight="false" outlineLevel="0" collapsed="false">
      <c r="A135" s="12"/>
      <c r="B135" s="12"/>
      <c r="C135" s="12"/>
      <c r="D135" s="12"/>
      <c r="E135" s="23"/>
      <c r="F135" s="13"/>
      <c r="G135" s="23"/>
      <c r="H135" s="13"/>
      <c r="I135" s="15" t="str">
        <f aca="false">IF(AND(ISNUMBER(E135),ISNUMBER(G135)),(G135-E135)*1440,"")</f>
        <v/>
      </c>
      <c r="J135" s="13" t="str">
        <f aca="false">IF(E135="","",IF(ISNUMBER(I135),IF(I135&lt;=60,"OK","VIOLADO"),"Sem contacto"))</f>
        <v/>
      </c>
      <c r="K135" s="13"/>
      <c r="L135" s="13"/>
    </row>
    <row r="136" customFormat="false" ht="15" hidden="false" customHeight="false" outlineLevel="0" collapsed="false">
      <c r="A136" s="12"/>
      <c r="B136" s="12"/>
      <c r="C136" s="12"/>
      <c r="D136" s="12"/>
      <c r="E136" s="23"/>
      <c r="F136" s="13"/>
      <c r="G136" s="23"/>
      <c r="H136" s="13"/>
      <c r="I136" s="15" t="str">
        <f aca="false">IF(AND(ISNUMBER(E136),ISNUMBER(G136)),(G136-E136)*1440,"")</f>
        <v/>
      </c>
      <c r="J136" s="13" t="str">
        <f aca="false">IF(E136="","",IF(ISNUMBER(I136),IF(I136&lt;=60,"OK","VIOLADO"),"Sem contacto"))</f>
        <v/>
      </c>
      <c r="K136" s="13"/>
      <c r="L136" s="13"/>
    </row>
    <row r="137" customFormat="false" ht="15" hidden="false" customHeight="false" outlineLevel="0" collapsed="false">
      <c r="A137" s="12"/>
      <c r="B137" s="12"/>
      <c r="C137" s="12"/>
      <c r="D137" s="12"/>
      <c r="E137" s="23"/>
      <c r="F137" s="13"/>
      <c r="G137" s="23"/>
      <c r="H137" s="13"/>
      <c r="I137" s="15" t="str">
        <f aca="false">IF(AND(ISNUMBER(E137),ISNUMBER(G137)),(G137-E137)*1440,"")</f>
        <v/>
      </c>
      <c r="J137" s="13" t="str">
        <f aca="false">IF(E137="","",IF(ISNUMBER(I137),IF(I137&lt;=60,"OK","VIOLADO"),"Sem contacto"))</f>
        <v/>
      </c>
      <c r="K137" s="13"/>
      <c r="L137" s="13"/>
    </row>
    <row r="138" customFormat="false" ht="15" hidden="false" customHeight="false" outlineLevel="0" collapsed="false">
      <c r="A138" s="12"/>
      <c r="B138" s="12"/>
      <c r="C138" s="12"/>
      <c r="D138" s="12"/>
      <c r="E138" s="23"/>
      <c r="F138" s="13"/>
      <c r="G138" s="23"/>
      <c r="H138" s="13"/>
      <c r="I138" s="15" t="str">
        <f aca="false">IF(AND(ISNUMBER(E138),ISNUMBER(G138)),(G138-E138)*1440,"")</f>
        <v/>
      </c>
      <c r="J138" s="13" t="str">
        <f aca="false">IF(E138="","",IF(ISNUMBER(I138),IF(I138&lt;=60,"OK","VIOLADO"),"Sem contacto"))</f>
        <v/>
      </c>
      <c r="K138" s="13"/>
      <c r="L138" s="13"/>
    </row>
    <row r="139" customFormat="false" ht="15" hidden="false" customHeight="false" outlineLevel="0" collapsed="false">
      <c r="A139" s="12"/>
      <c r="B139" s="12"/>
      <c r="C139" s="12"/>
      <c r="D139" s="12"/>
      <c r="E139" s="23"/>
      <c r="F139" s="13"/>
      <c r="G139" s="23"/>
      <c r="H139" s="13"/>
      <c r="I139" s="15" t="str">
        <f aca="false">IF(AND(ISNUMBER(E139),ISNUMBER(G139)),(G139-E139)*1440,"")</f>
        <v/>
      </c>
      <c r="J139" s="13" t="str">
        <f aca="false">IF(E139="","",IF(ISNUMBER(I139),IF(I139&lt;=60,"OK","VIOLADO"),"Sem contacto"))</f>
        <v/>
      </c>
      <c r="K139" s="13"/>
      <c r="L139" s="13"/>
    </row>
    <row r="140" customFormat="false" ht="15" hidden="false" customHeight="false" outlineLevel="0" collapsed="false">
      <c r="A140" s="12"/>
      <c r="B140" s="12"/>
      <c r="C140" s="12"/>
      <c r="D140" s="12"/>
      <c r="E140" s="23"/>
      <c r="F140" s="13"/>
      <c r="G140" s="23"/>
      <c r="H140" s="13"/>
      <c r="I140" s="15" t="str">
        <f aca="false">IF(AND(ISNUMBER(E140),ISNUMBER(G140)),(G140-E140)*1440,"")</f>
        <v/>
      </c>
      <c r="J140" s="13" t="str">
        <f aca="false">IF(E140="","",IF(ISNUMBER(I140),IF(I140&lt;=60,"OK","VIOLADO"),"Sem contacto"))</f>
        <v/>
      </c>
      <c r="K140" s="13"/>
      <c r="L140" s="13"/>
    </row>
    <row r="141" customFormat="false" ht="15" hidden="false" customHeight="false" outlineLevel="0" collapsed="false">
      <c r="A141" s="12"/>
      <c r="B141" s="12"/>
      <c r="C141" s="12"/>
      <c r="D141" s="12"/>
      <c r="E141" s="23"/>
      <c r="F141" s="13"/>
      <c r="G141" s="23"/>
      <c r="H141" s="13"/>
      <c r="I141" s="15" t="str">
        <f aca="false">IF(AND(ISNUMBER(E141),ISNUMBER(G141)),(G141-E141)*1440,"")</f>
        <v/>
      </c>
      <c r="J141" s="13" t="str">
        <f aca="false">IF(E141="","",IF(ISNUMBER(I141),IF(I141&lt;=60,"OK","VIOLADO"),"Sem contacto"))</f>
        <v/>
      </c>
      <c r="K141" s="13"/>
      <c r="L141" s="13"/>
    </row>
    <row r="142" customFormat="false" ht="15" hidden="false" customHeight="false" outlineLevel="0" collapsed="false">
      <c r="A142" s="12"/>
      <c r="B142" s="12"/>
      <c r="C142" s="12"/>
      <c r="D142" s="12"/>
      <c r="E142" s="23"/>
      <c r="F142" s="13"/>
      <c r="G142" s="23"/>
      <c r="H142" s="13"/>
      <c r="I142" s="15" t="str">
        <f aca="false">IF(AND(ISNUMBER(E142),ISNUMBER(G142)),(G142-E142)*1440,"")</f>
        <v/>
      </c>
      <c r="J142" s="13" t="str">
        <f aca="false">IF(E142="","",IF(ISNUMBER(I142),IF(I142&lt;=60,"OK","VIOLADO"),"Sem contacto"))</f>
        <v/>
      </c>
      <c r="K142" s="13"/>
      <c r="L142" s="13"/>
    </row>
    <row r="143" customFormat="false" ht="15" hidden="false" customHeight="false" outlineLevel="0" collapsed="false">
      <c r="A143" s="12"/>
      <c r="B143" s="12"/>
      <c r="C143" s="12"/>
      <c r="D143" s="12"/>
      <c r="E143" s="23"/>
      <c r="F143" s="13"/>
      <c r="G143" s="23"/>
      <c r="H143" s="13"/>
      <c r="I143" s="15" t="str">
        <f aca="false">IF(AND(ISNUMBER(E143),ISNUMBER(G143)),(G143-E143)*1440,"")</f>
        <v/>
      </c>
      <c r="J143" s="13" t="str">
        <f aca="false">IF(E143="","",IF(ISNUMBER(I143),IF(I143&lt;=60,"OK","VIOLADO"),"Sem contacto"))</f>
        <v/>
      </c>
      <c r="K143" s="13"/>
      <c r="L143" s="13"/>
    </row>
    <row r="144" customFormat="false" ht="15" hidden="false" customHeight="false" outlineLevel="0" collapsed="false">
      <c r="A144" s="12"/>
      <c r="B144" s="12"/>
      <c r="C144" s="12"/>
      <c r="D144" s="12"/>
      <c r="E144" s="23"/>
      <c r="F144" s="13"/>
      <c r="G144" s="23"/>
      <c r="H144" s="13"/>
      <c r="I144" s="15" t="str">
        <f aca="false">IF(AND(ISNUMBER(E144),ISNUMBER(G144)),(G144-E144)*1440,"")</f>
        <v/>
      </c>
      <c r="J144" s="13" t="str">
        <f aca="false">IF(E144="","",IF(ISNUMBER(I144),IF(I144&lt;=60,"OK","VIOLADO"),"Sem contacto"))</f>
        <v/>
      </c>
      <c r="K144" s="13"/>
      <c r="L144" s="13"/>
    </row>
    <row r="145" customFormat="false" ht="15" hidden="false" customHeight="false" outlineLevel="0" collapsed="false">
      <c r="A145" s="12"/>
      <c r="B145" s="12"/>
      <c r="C145" s="12"/>
      <c r="D145" s="12"/>
      <c r="E145" s="23"/>
      <c r="F145" s="13"/>
      <c r="G145" s="23"/>
      <c r="H145" s="13"/>
      <c r="I145" s="15" t="str">
        <f aca="false">IF(AND(ISNUMBER(E145),ISNUMBER(G145)),(G145-E145)*1440,"")</f>
        <v/>
      </c>
      <c r="J145" s="13" t="str">
        <f aca="false">IF(E145="","",IF(ISNUMBER(I145),IF(I145&lt;=60,"OK","VIOLADO"),"Sem contacto"))</f>
        <v/>
      </c>
      <c r="K145" s="13"/>
      <c r="L145" s="13"/>
    </row>
    <row r="146" customFormat="false" ht="15" hidden="false" customHeight="false" outlineLevel="0" collapsed="false">
      <c r="A146" s="12"/>
      <c r="B146" s="12"/>
      <c r="C146" s="12"/>
      <c r="D146" s="12"/>
      <c r="E146" s="23"/>
      <c r="F146" s="13"/>
      <c r="G146" s="23"/>
      <c r="H146" s="13"/>
      <c r="I146" s="15" t="str">
        <f aca="false">IF(AND(ISNUMBER(E146),ISNUMBER(G146)),(G146-E146)*1440,"")</f>
        <v/>
      </c>
      <c r="J146" s="13" t="str">
        <f aca="false">IF(E146="","",IF(ISNUMBER(I146),IF(I146&lt;=60,"OK","VIOLADO"),"Sem contacto"))</f>
        <v/>
      </c>
      <c r="K146" s="13"/>
      <c r="L146" s="13"/>
    </row>
    <row r="147" customFormat="false" ht="15" hidden="false" customHeight="false" outlineLevel="0" collapsed="false">
      <c r="A147" s="12"/>
      <c r="B147" s="12"/>
      <c r="C147" s="12"/>
      <c r="D147" s="12"/>
      <c r="E147" s="23"/>
      <c r="F147" s="13"/>
      <c r="G147" s="23"/>
      <c r="H147" s="13"/>
      <c r="I147" s="15" t="str">
        <f aca="false">IF(AND(ISNUMBER(E147),ISNUMBER(G147)),(G147-E147)*1440,"")</f>
        <v/>
      </c>
      <c r="J147" s="13" t="str">
        <f aca="false">IF(E147="","",IF(ISNUMBER(I147),IF(I147&lt;=60,"OK","VIOLADO"),"Sem contacto"))</f>
        <v/>
      </c>
      <c r="K147" s="13"/>
      <c r="L147" s="13"/>
    </row>
    <row r="148" customFormat="false" ht="15" hidden="false" customHeight="false" outlineLevel="0" collapsed="false">
      <c r="A148" s="12"/>
      <c r="B148" s="12"/>
      <c r="C148" s="12"/>
      <c r="D148" s="12"/>
      <c r="E148" s="23"/>
      <c r="F148" s="13"/>
      <c r="G148" s="23"/>
      <c r="H148" s="13"/>
      <c r="I148" s="15" t="str">
        <f aca="false">IF(AND(ISNUMBER(E148),ISNUMBER(G148)),(G148-E148)*1440,"")</f>
        <v/>
      </c>
      <c r="J148" s="13" t="str">
        <f aca="false">IF(E148="","",IF(ISNUMBER(I148),IF(I148&lt;=60,"OK","VIOLADO"),"Sem contacto"))</f>
        <v/>
      </c>
      <c r="K148" s="13"/>
      <c r="L148" s="13"/>
    </row>
    <row r="149" customFormat="false" ht="15" hidden="false" customHeight="false" outlineLevel="0" collapsed="false">
      <c r="A149" s="12"/>
      <c r="B149" s="12"/>
      <c r="C149" s="12"/>
      <c r="D149" s="12"/>
      <c r="E149" s="23"/>
      <c r="F149" s="13"/>
      <c r="G149" s="23"/>
      <c r="H149" s="13"/>
      <c r="I149" s="15" t="str">
        <f aca="false">IF(AND(ISNUMBER(E149),ISNUMBER(G149)),(G149-E149)*1440,"")</f>
        <v/>
      </c>
      <c r="J149" s="13" t="str">
        <f aca="false">IF(E149="","",IF(ISNUMBER(I149),IF(I149&lt;=60,"OK","VIOLADO"),"Sem contacto"))</f>
        <v/>
      </c>
      <c r="K149" s="13"/>
      <c r="L149" s="13"/>
    </row>
    <row r="150" customFormat="false" ht="15" hidden="false" customHeight="false" outlineLevel="0" collapsed="false">
      <c r="A150" s="12"/>
      <c r="B150" s="12"/>
      <c r="C150" s="12"/>
      <c r="D150" s="12"/>
      <c r="E150" s="23"/>
      <c r="F150" s="13"/>
      <c r="G150" s="23"/>
      <c r="H150" s="13"/>
      <c r="I150" s="15" t="str">
        <f aca="false">IF(AND(ISNUMBER(E150),ISNUMBER(G150)),(G150-E150)*1440,"")</f>
        <v/>
      </c>
      <c r="J150" s="13" t="str">
        <f aca="false">IF(E150="","",IF(ISNUMBER(I150),IF(I150&lt;=60,"OK","VIOLADO"),"Sem contacto"))</f>
        <v/>
      </c>
      <c r="K150" s="13"/>
      <c r="L150" s="13"/>
    </row>
    <row r="151" customFormat="false" ht="15" hidden="false" customHeight="false" outlineLevel="0" collapsed="false">
      <c r="A151" s="12"/>
      <c r="B151" s="12"/>
      <c r="C151" s="12"/>
      <c r="D151" s="12"/>
      <c r="E151" s="23"/>
      <c r="F151" s="13"/>
      <c r="G151" s="23"/>
      <c r="H151" s="13"/>
      <c r="I151" s="15" t="str">
        <f aca="false">IF(AND(ISNUMBER(E151),ISNUMBER(G151)),(G151-E151)*1440,"")</f>
        <v/>
      </c>
      <c r="J151" s="13" t="str">
        <f aca="false">IF(E151="","",IF(ISNUMBER(I151),IF(I151&lt;=60,"OK","VIOLADO"),"Sem contacto"))</f>
        <v/>
      </c>
      <c r="K151" s="13"/>
      <c r="L151" s="13"/>
    </row>
    <row r="152" customFormat="false" ht="15" hidden="false" customHeight="false" outlineLevel="0" collapsed="false">
      <c r="A152" s="12"/>
      <c r="B152" s="12"/>
      <c r="C152" s="12"/>
      <c r="D152" s="12"/>
      <c r="E152" s="23"/>
      <c r="F152" s="13"/>
      <c r="G152" s="23"/>
      <c r="H152" s="13"/>
      <c r="I152" s="15" t="str">
        <f aca="false">IF(AND(ISNUMBER(E152),ISNUMBER(G152)),(G152-E152)*1440,"")</f>
        <v/>
      </c>
      <c r="J152" s="13" t="str">
        <f aca="false">IF(E152="","",IF(ISNUMBER(I152),IF(I152&lt;=60,"OK","VIOLADO"),"Sem contacto"))</f>
        <v/>
      </c>
      <c r="K152" s="13"/>
      <c r="L152" s="13"/>
    </row>
    <row r="153" customFormat="false" ht="15" hidden="false" customHeight="false" outlineLevel="0" collapsed="false">
      <c r="A153" s="12"/>
      <c r="B153" s="12"/>
      <c r="C153" s="12"/>
      <c r="D153" s="12"/>
      <c r="E153" s="23"/>
      <c r="F153" s="13"/>
      <c r="G153" s="23"/>
      <c r="H153" s="13"/>
      <c r="I153" s="15" t="str">
        <f aca="false">IF(AND(ISNUMBER(E153),ISNUMBER(G153)),(G153-E153)*1440,"")</f>
        <v/>
      </c>
      <c r="J153" s="13" t="str">
        <f aca="false">IF(E153="","",IF(ISNUMBER(I153),IF(I153&lt;=60,"OK","VIOLADO"),"Sem contacto"))</f>
        <v/>
      </c>
      <c r="K153" s="13"/>
      <c r="L153" s="13"/>
    </row>
    <row r="154" customFormat="false" ht="15" hidden="false" customHeight="false" outlineLevel="0" collapsed="false">
      <c r="A154" s="12"/>
      <c r="B154" s="12"/>
      <c r="C154" s="12"/>
      <c r="D154" s="12"/>
      <c r="E154" s="23"/>
      <c r="F154" s="13"/>
      <c r="G154" s="23"/>
      <c r="H154" s="13"/>
      <c r="I154" s="15" t="str">
        <f aca="false">IF(AND(ISNUMBER(E154),ISNUMBER(G154)),(G154-E154)*1440,"")</f>
        <v/>
      </c>
      <c r="J154" s="13" t="str">
        <f aca="false">IF(E154="","",IF(ISNUMBER(I154),IF(I154&lt;=60,"OK","VIOLADO"),"Sem contacto"))</f>
        <v/>
      </c>
      <c r="K154" s="13"/>
      <c r="L154" s="13"/>
    </row>
    <row r="155" customFormat="false" ht="15" hidden="false" customHeight="false" outlineLevel="0" collapsed="false">
      <c r="A155" s="12"/>
      <c r="B155" s="12"/>
      <c r="C155" s="12"/>
      <c r="D155" s="12"/>
      <c r="E155" s="23"/>
      <c r="F155" s="13"/>
      <c r="G155" s="23"/>
      <c r="H155" s="13"/>
      <c r="I155" s="15" t="str">
        <f aca="false">IF(AND(ISNUMBER(E155),ISNUMBER(G155)),(G155-E155)*1440,"")</f>
        <v/>
      </c>
      <c r="J155" s="13" t="str">
        <f aca="false">IF(E155="","",IF(ISNUMBER(I155),IF(I155&lt;=60,"OK","VIOLADO"),"Sem contacto"))</f>
        <v/>
      </c>
      <c r="K155" s="13"/>
      <c r="L155" s="13"/>
    </row>
    <row r="156" customFormat="false" ht="15" hidden="false" customHeight="false" outlineLevel="0" collapsed="false">
      <c r="A156" s="12"/>
      <c r="B156" s="12"/>
      <c r="C156" s="12"/>
      <c r="D156" s="12"/>
      <c r="E156" s="23"/>
      <c r="F156" s="13"/>
      <c r="G156" s="23"/>
      <c r="H156" s="13"/>
      <c r="I156" s="15" t="str">
        <f aca="false">IF(AND(ISNUMBER(E156),ISNUMBER(G156)),(G156-E156)*1440,"")</f>
        <v/>
      </c>
      <c r="J156" s="13" t="str">
        <f aca="false">IF(E156="","",IF(ISNUMBER(I156),IF(I156&lt;=60,"OK","VIOLADO"),"Sem contacto"))</f>
        <v/>
      </c>
      <c r="K156" s="13"/>
      <c r="L156" s="13"/>
    </row>
    <row r="157" customFormat="false" ht="15" hidden="false" customHeight="false" outlineLevel="0" collapsed="false">
      <c r="A157" s="12"/>
      <c r="B157" s="12"/>
      <c r="C157" s="12"/>
      <c r="D157" s="12"/>
      <c r="E157" s="23"/>
      <c r="F157" s="13"/>
      <c r="G157" s="23"/>
      <c r="H157" s="13"/>
      <c r="I157" s="15" t="str">
        <f aca="false">IF(AND(ISNUMBER(E157),ISNUMBER(G157)),(G157-E157)*1440,"")</f>
        <v/>
      </c>
      <c r="J157" s="13" t="str">
        <f aca="false">IF(E157="","",IF(ISNUMBER(I157),IF(I157&lt;=60,"OK","VIOLADO"),"Sem contacto"))</f>
        <v/>
      </c>
      <c r="K157" s="13"/>
      <c r="L157" s="13"/>
    </row>
    <row r="158" customFormat="false" ht="15" hidden="false" customHeight="false" outlineLevel="0" collapsed="false">
      <c r="A158" s="12"/>
      <c r="B158" s="12"/>
      <c r="C158" s="12"/>
      <c r="D158" s="12"/>
      <c r="E158" s="23"/>
      <c r="F158" s="13"/>
      <c r="G158" s="23"/>
      <c r="H158" s="13"/>
      <c r="I158" s="15" t="str">
        <f aca="false">IF(AND(ISNUMBER(E158),ISNUMBER(G158)),(G158-E158)*1440,"")</f>
        <v/>
      </c>
      <c r="J158" s="13" t="str">
        <f aca="false">IF(E158="","",IF(ISNUMBER(I158),IF(I158&lt;=60,"OK","VIOLADO"),"Sem contacto"))</f>
        <v/>
      </c>
      <c r="K158" s="13"/>
      <c r="L158" s="13"/>
    </row>
    <row r="159" customFormat="false" ht="15" hidden="false" customHeight="false" outlineLevel="0" collapsed="false">
      <c r="A159" s="12"/>
      <c r="B159" s="12"/>
      <c r="C159" s="12"/>
      <c r="D159" s="12"/>
      <c r="E159" s="23"/>
      <c r="F159" s="13"/>
      <c r="G159" s="23"/>
      <c r="H159" s="13"/>
      <c r="I159" s="15" t="str">
        <f aca="false">IF(AND(ISNUMBER(E159),ISNUMBER(G159)),(G159-E159)*1440,"")</f>
        <v/>
      </c>
      <c r="J159" s="13" t="str">
        <f aca="false">IF(E159="","",IF(ISNUMBER(I159),IF(I159&lt;=60,"OK","VIOLADO"),"Sem contacto"))</f>
        <v/>
      </c>
      <c r="K159" s="13"/>
      <c r="L159" s="13"/>
    </row>
    <row r="160" customFormat="false" ht="15" hidden="false" customHeight="false" outlineLevel="0" collapsed="false">
      <c r="A160" s="12"/>
      <c r="B160" s="12"/>
      <c r="C160" s="12"/>
      <c r="D160" s="12"/>
      <c r="E160" s="23"/>
      <c r="F160" s="13"/>
      <c r="G160" s="23"/>
      <c r="H160" s="13"/>
      <c r="I160" s="15" t="str">
        <f aca="false">IF(AND(ISNUMBER(E160),ISNUMBER(G160)),(G160-E160)*1440,"")</f>
        <v/>
      </c>
      <c r="J160" s="13" t="str">
        <f aca="false">IF(E160="","",IF(ISNUMBER(I160),IF(I160&lt;=60,"OK","VIOLADO"),"Sem contacto"))</f>
        <v/>
      </c>
      <c r="K160" s="13"/>
      <c r="L160" s="13"/>
    </row>
    <row r="161" customFormat="false" ht="15" hidden="false" customHeight="false" outlineLevel="0" collapsed="false">
      <c r="A161" s="12"/>
      <c r="B161" s="12"/>
      <c r="C161" s="12"/>
      <c r="D161" s="12"/>
      <c r="E161" s="23"/>
      <c r="F161" s="13"/>
      <c r="G161" s="23"/>
      <c r="H161" s="13"/>
      <c r="I161" s="15" t="str">
        <f aca="false">IF(AND(ISNUMBER(E161),ISNUMBER(G161)),(G161-E161)*1440,"")</f>
        <v/>
      </c>
      <c r="J161" s="13" t="str">
        <f aca="false">IF(E161="","",IF(ISNUMBER(I161),IF(I161&lt;=60,"OK","VIOLADO"),"Sem contacto"))</f>
        <v/>
      </c>
      <c r="K161" s="13"/>
      <c r="L161" s="13"/>
    </row>
    <row r="162" customFormat="false" ht="15" hidden="false" customHeight="false" outlineLevel="0" collapsed="false">
      <c r="A162" s="12"/>
      <c r="B162" s="12"/>
      <c r="C162" s="12"/>
      <c r="D162" s="12"/>
      <c r="E162" s="23"/>
      <c r="F162" s="13"/>
      <c r="G162" s="23"/>
      <c r="H162" s="13"/>
      <c r="I162" s="15" t="str">
        <f aca="false">IF(AND(ISNUMBER(E162),ISNUMBER(G162)),(G162-E162)*1440,"")</f>
        <v/>
      </c>
      <c r="J162" s="13" t="str">
        <f aca="false">IF(E162="","",IF(ISNUMBER(I162),IF(I162&lt;=60,"OK","VIOLADO"),"Sem contacto"))</f>
        <v/>
      </c>
      <c r="K162" s="13"/>
      <c r="L162" s="13"/>
    </row>
    <row r="163" customFormat="false" ht="15" hidden="false" customHeight="false" outlineLevel="0" collapsed="false">
      <c r="A163" s="12"/>
      <c r="B163" s="12"/>
      <c r="C163" s="12"/>
      <c r="D163" s="12"/>
      <c r="E163" s="23"/>
      <c r="F163" s="13"/>
      <c r="G163" s="23"/>
      <c r="H163" s="13"/>
      <c r="I163" s="15" t="str">
        <f aca="false">IF(AND(ISNUMBER(E163),ISNUMBER(G163)),(G163-E163)*1440,"")</f>
        <v/>
      </c>
      <c r="J163" s="13" t="str">
        <f aca="false">IF(E163="","",IF(ISNUMBER(I163),IF(I163&lt;=60,"OK","VIOLADO"),"Sem contacto"))</f>
        <v/>
      </c>
      <c r="K163" s="13"/>
      <c r="L163" s="13"/>
    </row>
    <row r="164" customFormat="false" ht="15" hidden="false" customHeight="false" outlineLevel="0" collapsed="false">
      <c r="A164" s="12"/>
      <c r="B164" s="12"/>
      <c r="C164" s="12"/>
      <c r="D164" s="12"/>
      <c r="E164" s="23"/>
      <c r="F164" s="13"/>
      <c r="G164" s="23"/>
      <c r="H164" s="13"/>
      <c r="I164" s="15" t="str">
        <f aca="false">IF(AND(ISNUMBER(E164),ISNUMBER(G164)),(G164-E164)*1440,"")</f>
        <v/>
      </c>
      <c r="J164" s="13" t="str">
        <f aca="false">IF(E164="","",IF(ISNUMBER(I164),IF(I164&lt;=60,"OK","VIOLADO"),"Sem contacto"))</f>
        <v/>
      </c>
      <c r="K164" s="13"/>
      <c r="L164" s="13"/>
    </row>
    <row r="165" customFormat="false" ht="15" hidden="false" customHeight="false" outlineLevel="0" collapsed="false">
      <c r="A165" s="12"/>
      <c r="B165" s="12"/>
      <c r="C165" s="12"/>
      <c r="D165" s="12"/>
      <c r="E165" s="23"/>
      <c r="F165" s="13"/>
      <c r="G165" s="23"/>
      <c r="H165" s="13"/>
      <c r="I165" s="15" t="str">
        <f aca="false">IF(AND(ISNUMBER(E165),ISNUMBER(G165)),(G165-E165)*1440,"")</f>
        <v/>
      </c>
      <c r="J165" s="13" t="str">
        <f aca="false">IF(E165="","",IF(ISNUMBER(I165),IF(I165&lt;=60,"OK","VIOLADO"),"Sem contacto"))</f>
        <v/>
      </c>
      <c r="K165" s="13"/>
      <c r="L165" s="13"/>
    </row>
    <row r="166" customFormat="false" ht="15" hidden="false" customHeight="false" outlineLevel="0" collapsed="false">
      <c r="A166" s="12"/>
      <c r="B166" s="12"/>
      <c r="C166" s="12"/>
      <c r="D166" s="12"/>
      <c r="E166" s="23"/>
      <c r="F166" s="13"/>
      <c r="G166" s="23"/>
      <c r="H166" s="13"/>
      <c r="I166" s="15" t="str">
        <f aca="false">IF(AND(ISNUMBER(E166),ISNUMBER(G166)),(G166-E166)*1440,"")</f>
        <v/>
      </c>
      <c r="J166" s="13" t="str">
        <f aca="false">IF(E166="","",IF(ISNUMBER(I166),IF(I166&lt;=60,"OK","VIOLADO"),"Sem contacto"))</f>
        <v/>
      </c>
      <c r="K166" s="13"/>
      <c r="L166" s="13"/>
    </row>
    <row r="167" customFormat="false" ht="15" hidden="false" customHeight="false" outlineLevel="0" collapsed="false">
      <c r="A167" s="12"/>
      <c r="B167" s="12"/>
      <c r="C167" s="12"/>
      <c r="D167" s="12"/>
      <c r="E167" s="23"/>
      <c r="F167" s="13"/>
      <c r="G167" s="23"/>
      <c r="H167" s="13"/>
      <c r="I167" s="15" t="str">
        <f aca="false">IF(AND(ISNUMBER(E167),ISNUMBER(G167)),(G167-E167)*1440,"")</f>
        <v/>
      </c>
      <c r="J167" s="13" t="str">
        <f aca="false">IF(E167="","",IF(ISNUMBER(I167),IF(I167&lt;=60,"OK","VIOLADO"),"Sem contacto"))</f>
        <v/>
      </c>
      <c r="K167" s="13"/>
      <c r="L167" s="13"/>
    </row>
    <row r="168" customFormat="false" ht="15" hidden="false" customHeight="false" outlineLevel="0" collapsed="false">
      <c r="A168" s="12"/>
      <c r="B168" s="12"/>
      <c r="C168" s="12"/>
      <c r="D168" s="12"/>
      <c r="E168" s="23"/>
      <c r="F168" s="13"/>
      <c r="G168" s="23"/>
      <c r="H168" s="13"/>
      <c r="I168" s="15" t="str">
        <f aca="false">IF(AND(ISNUMBER(E168),ISNUMBER(G168)),(G168-E168)*1440,"")</f>
        <v/>
      </c>
      <c r="J168" s="13" t="str">
        <f aca="false">IF(E168="","",IF(ISNUMBER(I168),IF(I168&lt;=60,"OK","VIOLADO"),"Sem contacto"))</f>
        <v/>
      </c>
      <c r="K168" s="13"/>
      <c r="L168" s="13"/>
    </row>
    <row r="169" customFormat="false" ht="15" hidden="false" customHeight="false" outlineLevel="0" collapsed="false">
      <c r="A169" s="12"/>
      <c r="B169" s="12"/>
      <c r="C169" s="12"/>
      <c r="D169" s="12"/>
      <c r="E169" s="23"/>
      <c r="F169" s="13"/>
      <c r="G169" s="23"/>
      <c r="H169" s="13"/>
      <c r="I169" s="15" t="str">
        <f aca="false">IF(AND(ISNUMBER(E169),ISNUMBER(G169)),(G169-E169)*1440,"")</f>
        <v/>
      </c>
      <c r="J169" s="13" t="str">
        <f aca="false">IF(E169="","",IF(ISNUMBER(I169),IF(I169&lt;=60,"OK","VIOLADO"),"Sem contacto"))</f>
        <v/>
      </c>
      <c r="K169" s="13"/>
      <c r="L169" s="13"/>
    </row>
    <row r="170" customFormat="false" ht="15" hidden="false" customHeight="false" outlineLevel="0" collapsed="false">
      <c r="A170" s="12"/>
      <c r="B170" s="12"/>
      <c r="C170" s="12"/>
      <c r="D170" s="12"/>
      <c r="E170" s="23"/>
      <c r="F170" s="13"/>
      <c r="G170" s="23"/>
      <c r="H170" s="13"/>
      <c r="I170" s="15" t="str">
        <f aca="false">IF(AND(ISNUMBER(E170),ISNUMBER(G170)),(G170-E170)*1440,"")</f>
        <v/>
      </c>
      <c r="J170" s="13" t="str">
        <f aca="false">IF(E170="","",IF(ISNUMBER(I170),IF(I170&lt;=60,"OK","VIOLADO"),"Sem contacto"))</f>
        <v/>
      </c>
      <c r="K170" s="13"/>
      <c r="L170" s="13"/>
    </row>
    <row r="171" customFormat="false" ht="15" hidden="false" customHeight="false" outlineLevel="0" collapsed="false">
      <c r="A171" s="12"/>
      <c r="B171" s="12"/>
      <c r="C171" s="12"/>
      <c r="D171" s="12"/>
      <c r="E171" s="23"/>
      <c r="F171" s="13"/>
      <c r="G171" s="23"/>
      <c r="H171" s="13"/>
      <c r="I171" s="15" t="str">
        <f aca="false">IF(AND(ISNUMBER(E171),ISNUMBER(G171)),(G171-E171)*1440,"")</f>
        <v/>
      </c>
      <c r="J171" s="13" t="str">
        <f aca="false">IF(E171="","",IF(ISNUMBER(I171),IF(I171&lt;=60,"OK","VIOLADO"),"Sem contacto"))</f>
        <v/>
      </c>
      <c r="K171" s="13"/>
      <c r="L171" s="13"/>
    </row>
    <row r="172" customFormat="false" ht="15" hidden="false" customHeight="false" outlineLevel="0" collapsed="false">
      <c r="A172" s="12"/>
      <c r="B172" s="12"/>
      <c r="C172" s="12"/>
      <c r="D172" s="12"/>
      <c r="E172" s="23"/>
      <c r="F172" s="13"/>
      <c r="G172" s="23"/>
      <c r="H172" s="13"/>
      <c r="I172" s="15" t="str">
        <f aca="false">IF(AND(ISNUMBER(E172),ISNUMBER(G172)),(G172-E172)*1440,"")</f>
        <v/>
      </c>
      <c r="J172" s="13" t="str">
        <f aca="false">IF(E172="","",IF(ISNUMBER(I172),IF(I172&lt;=60,"OK","VIOLADO"),"Sem contacto"))</f>
        <v/>
      </c>
      <c r="K172" s="13"/>
      <c r="L172" s="13"/>
    </row>
    <row r="173" customFormat="false" ht="15" hidden="false" customHeight="false" outlineLevel="0" collapsed="false">
      <c r="A173" s="12"/>
      <c r="B173" s="12"/>
      <c r="C173" s="12"/>
      <c r="D173" s="12"/>
      <c r="E173" s="23"/>
      <c r="F173" s="13"/>
      <c r="G173" s="23"/>
      <c r="H173" s="13"/>
      <c r="I173" s="15" t="str">
        <f aca="false">IF(AND(ISNUMBER(E173),ISNUMBER(G173)),(G173-E173)*1440,"")</f>
        <v/>
      </c>
      <c r="J173" s="13" t="str">
        <f aca="false">IF(E173="","",IF(ISNUMBER(I173),IF(I173&lt;=60,"OK","VIOLADO"),"Sem contacto"))</f>
        <v/>
      </c>
      <c r="K173" s="13"/>
      <c r="L173" s="13"/>
    </row>
    <row r="174" customFormat="false" ht="15" hidden="false" customHeight="false" outlineLevel="0" collapsed="false">
      <c r="A174" s="12"/>
      <c r="B174" s="12"/>
      <c r="C174" s="12"/>
      <c r="D174" s="12"/>
      <c r="E174" s="23"/>
      <c r="F174" s="13"/>
      <c r="G174" s="23"/>
      <c r="H174" s="13"/>
      <c r="I174" s="15" t="str">
        <f aca="false">IF(AND(ISNUMBER(E174),ISNUMBER(G174)),(G174-E174)*1440,"")</f>
        <v/>
      </c>
      <c r="J174" s="13" t="str">
        <f aca="false">IF(E174="","",IF(ISNUMBER(I174),IF(I174&lt;=60,"OK","VIOLADO"),"Sem contacto"))</f>
        <v/>
      </c>
      <c r="K174" s="13"/>
      <c r="L174" s="13"/>
    </row>
    <row r="175" customFormat="false" ht="15" hidden="false" customHeight="false" outlineLevel="0" collapsed="false">
      <c r="A175" s="12"/>
      <c r="B175" s="12"/>
      <c r="C175" s="12"/>
      <c r="D175" s="12"/>
      <c r="E175" s="23"/>
      <c r="F175" s="13"/>
      <c r="G175" s="23"/>
      <c r="H175" s="13"/>
      <c r="I175" s="15" t="str">
        <f aca="false">IF(AND(ISNUMBER(E175),ISNUMBER(G175)),(G175-E175)*1440,"")</f>
        <v/>
      </c>
      <c r="J175" s="13" t="str">
        <f aca="false">IF(E175="","",IF(ISNUMBER(I175),IF(I175&lt;=60,"OK","VIOLADO"),"Sem contacto"))</f>
        <v/>
      </c>
      <c r="K175" s="13"/>
      <c r="L175" s="13"/>
    </row>
    <row r="176" customFormat="false" ht="15" hidden="false" customHeight="false" outlineLevel="0" collapsed="false">
      <c r="A176" s="12"/>
      <c r="B176" s="12"/>
      <c r="C176" s="12"/>
      <c r="D176" s="12"/>
      <c r="E176" s="23"/>
      <c r="F176" s="13"/>
      <c r="G176" s="23"/>
      <c r="H176" s="13"/>
      <c r="I176" s="15" t="str">
        <f aca="false">IF(AND(ISNUMBER(E176),ISNUMBER(G176)),(G176-E176)*1440,"")</f>
        <v/>
      </c>
      <c r="J176" s="13" t="str">
        <f aca="false">IF(E176="","",IF(ISNUMBER(I176),IF(I176&lt;=60,"OK","VIOLADO"),"Sem contacto"))</f>
        <v/>
      </c>
      <c r="K176" s="13"/>
      <c r="L176" s="13"/>
    </row>
    <row r="177" customFormat="false" ht="15" hidden="false" customHeight="false" outlineLevel="0" collapsed="false">
      <c r="A177" s="12"/>
      <c r="B177" s="12"/>
      <c r="C177" s="12"/>
      <c r="D177" s="12"/>
      <c r="E177" s="23"/>
      <c r="F177" s="13"/>
      <c r="G177" s="23"/>
      <c r="H177" s="13"/>
      <c r="I177" s="15" t="str">
        <f aca="false">IF(AND(ISNUMBER(E177),ISNUMBER(G177)),(G177-E177)*1440,"")</f>
        <v/>
      </c>
      <c r="J177" s="13" t="str">
        <f aca="false">IF(E177="","",IF(ISNUMBER(I177),IF(I177&lt;=60,"OK","VIOLADO"),"Sem contacto"))</f>
        <v/>
      </c>
      <c r="K177" s="13"/>
      <c r="L177" s="13"/>
    </row>
    <row r="178" customFormat="false" ht="15" hidden="false" customHeight="false" outlineLevel="0" collapsed="false">
      <c r="A178" s="12"/>
      <c r="B178" s="12"/>
      <c r="C178" s="12"/>
      <c r="D178" s="12"/>
      <c r="E178" s="23"/>
      <c r="F178" s="13"/>
      <c r="G178" s="23"/>
      <c r="H178" s="13"/>
      <c r="I178" s="15" t="str">
        <f aca="false">IF(AND(ISNUMBER(E178),ISNUMBER(G178)),(G178-E178)*1440,"")</f>
        <v/>
      </c>
      <c r="J178" s="13" t="str">
        <f aca="false">IF(E178="","",IF(ISNUMBER(I178),IF(I178&lt;=60,"OK","VIOLADO"),"Sem contacto"))</f>
        <v/>
      </c>
      <c r="K178" s="13"/>
      <c r="L178" s="13"/>
    </row>
    <row r="179" customFormat="false" ht="15" hidden="false" customHeight="false" outlineLevel="0" collapsed="false">
      <c r="A179" s="12"/>
      <c r="B179" s="12"/>
      <c r="C179" s="12"/>
      <c r="D179" s="12"/>
      <c r="E179" s="23"/>
      <c r="F179" s="13"/>
      <c r="G179" s="23"/>
      <c r="H179" s="13"/>
      <c r="I179" s="15" t="str">
        <f aca="false">IF(AND(ISNUMBER(E179),ISNUMBER(G179)),(G179-E179)*1440,"")</f>
        <v/>
      </c>
      <c r="J179" s="13" t="str">
        <f aca="false">IF(E179="","",IF(ISNUMBER(I179),IF(I179&lt;=60,"OK","VIOLADO"),"Sem contacto"))</f>
        <v/>
      </c>
      <c r="K179" s="13"/>
      <c r="L179" s="13"/>
    </row>
    <row r="180" customFormat="false" ht="15" hidden="false" customHeight="false" outlineLevel="0" collapsed="false">
      <c r="A180" s="12"/>
      <c r="B180" s="12"/>
      <c r="C180" s="12"/>
      <c r="D180" s="12"/>
      <c r="E180" s="23"/>
      <c r="F180" s="13"/>
      <c r="G180" s="23"/>
      <c r="H180" s="13"/>
      <c r="I180" s="15" t="str">
        <f aca="false">IF(AND(ISNUMBER(E180),ISNUMBER(G180)),(G180-E180)*1440,"")</f>
        <v/>
      </c>
      <c r="J180" s="13" t="str">
        <f aca="false">IF(E180="","",IF(ISNUMBER(I180),IF(I180&lt;=60,"OK","VIOLADO"),"Sem contacto"))</f>
        <v/>
      </c>
      <c r="K180" s="13"/>
      <c r="L180" s="13"/>
    </row>
    <row r="181" customFormat="false" ht="15" hidden="false" customHeight="false" outlineLevel="0" collapsed="false">
      <c r="A181" s="12"/>
      <c r="B181" s="12"/>
      <c r="C181" s="12"/>
      <c r="D181" s="12"/>
      <c r="E181" s="23"/>
      <c r="F181" s="13"/>
      <c r="G181" s="23"/>
      <c r="H181" s="13"/>
      <c r="I181" s="15" t="str">
        <f aca="false">IF(AND(ISNUMBER(E181),ISNUMBER(G181)),(G181-E181)*1440,"")</f>
        <v/>
      </c>
      <c r="J181" s="13" t="str">
        <f aca="false">IF(E181="","",IF(ISNUMBER(I181),IF(I181&lt;=60,"OK","VIOLADO"),"Sem contacto"))</f>
        <v/>
      </c>
      <c r="K181" s="13"/>
      <c r="L181" s="13"/>
    </row>
    <row r="182" customFormat="false" ht="15" hidden="false" customHeight="false" outlineLevel="0" collapsed="false">
      <c r="A182" s="12"/>
      <c r="B182" s="12"/>
      <c r="C182" s="12"/>
      <c r="D182" s="12"/>
      <c r="E182" s="23"/>
      <c r="F182" s="13"/>
      <c r="G182" s="23"/>
      <c r="H182" s="13"/>
      <c r="I182" s="15" t="str">
        <f aca="false">IF(AND(ISNUMBER(E182),ISNUMBER(G182)),(G182-E182)*1440,"")</f>
        <v/>
      </c>
      <c r="J182" s="13" t="str">
        <f aca="false">IF(E182="","",IF(ISNUMBER(I182),IF(I182&lt;=60,"OK","VIOLADO"),"Sem contacto"))</f>
        <v/>
      </c>
      <c r="K182" s="13"/>
      <c r="L182" s="13"/>
    </row>
    <row r="183" customFormat="false" ht="15" hidden="false" customHeight="false" outlineLevel="0" collapsed="false">
      <c r="A183" s="12"/>
      <c r="B183" s="12"/>
      <c r="C183" s="12"/>
      <c r="D183" s="12"/>
      <c r="E183" s="23"/>
      <c r="F183" s="13"/>
      <c r="G183" s="23"/>
      <c r="H183" s="13"/>
      <c r="I183" s="15" t="str">
        <f aca="false">IF(AND(ISNUMBER(E183),ISNUMBER(G183)),(G183-E183)*1440,"")</f>
        <v/>
      </c>
      <c r="J183" s="13" t="str">
        <f aca="false">IF(E183="","",IF(ISNUMBER(I183),IF(I183&lt;=60,"OK","VIOLADO"),"Sem contacto"))</f>
        <v/>
      </c>
      <c r="K183" s="13"/>
      <c r="L183" s="13"/>
    </row>
    <row r="184" customFormat="false" ht="15" hidden="false" customHeight="false" outlineLevel="0" collapsed="false">
      <c r="A184" s="12"/>
      <c r="B184" s="12"/>
      <c r="C184" s="12"/>
      <c r="D184" s="12"/>
      <c r="E184" s="23"/>
      <c r="F184" s="13"/>
      <c r="G184" s="23"/>
      <c r="H184" s="13"/>
      <c r="I184" s="15" t="str">
        <f aca="false">IF(AND(ISNUMBER(E184),ISNUMBER(G184)),(G184-E184)*1440,"")</f>
        <v/>
      </c>
      <c r="J184" s="13" t="str">
        <f aca="false">IF(E184="","",IF(ISNUMBER(I184),IF(I184&lt;=60,"OK","VIOLADO"),"Sem contacto"))</f>
        <v/>
      </c>
      <c r="K184" s="13"/>
      <c r="L184" s="13"/>
    </row>
    <row r="185" customFormat="false" ht="15" hidden="false" customHeight="false" outlineLevel="0" collapsed="false">
      <c r="A185" s="12"/>
      <c r="B185" s="12"/>
      <c r="C185" s="12"/>
      <c r="D185" s="12"/>
      <c r="E185" s="23"/>
      <c r="F185" s="13"/>
      <c r="G185" s="23"/>
      <c r="H185" s="13"/>
      <c r="I185" s="15" t="str">
        <f aca="false">IF(AND(ISNUMBER(E185),ISNUMBER(G185)),(G185-E185)*1440,"")</f>
        <v/>
      </c>
      <c r="J185" s="13" t="str">
        <f aca="false">IF(E185="","",IF(ISNUMBER(I185),IF(I185&lt;=60,"OK","VIOLADO"),"Sem contacto"))</f>
        <v/>
      </c>
      <c r="K185" s="13"/>
      <c r="L185" s="13"/>
    </row>
    <row r="186" customFormat="false" ht="15" hidden="false" customHeight="false" outlineLevel="0" collapsed="false">
      <c r="A186" s="12"/>
      <c r="B186" s="12"/>
      <c r="C186" s="12"/>
      <c r="D186" s="12"/>
      <c r="E186" s="23"/>
      <c r="F186" s="13"/>
      <c r="G186" s="23"/>
      <c r="H186" s="13"/>
      <c r="I186" s="15" t="str">
        <f aca="false">IF(AND(ISNUMBER(E186),ISNUMBER(G186)),(G186-E186)*1440,"")</f>
        <v/>
      </c>
      <c r="J186" s="13" t="str">
        <f aca="false">IF(E186="","",IF(ISNUMBER(I186),IF(I186&lt;=60,"OK","VIOLADO"),"Sem contacto"))</f>
        <v/>
      </c>
      <c r="K186" s="13"/>
      <c r="L186" s="13"/>
    </row>
    <row r="187" customFormat="false" ht="15" hidden="false" customHeight="false" outlineLevel="0" collapsed="false">
      <c r="A187" s="12"/>
      <c r="B187" s="12"/>
      <c r="C187" s="12"/>
      <c r="D187" s="12"/>
      <c r="E187" s="23"/>
      <c r="F187" s="13"/>
      <c r="G187" s="23"/>
      <c r="H187" s="13"/>
      <c r="I187" s="15" t="str">
        <f aca="false">IF(AND(ISNUMBER(E187),ISNUMBER(G187)),(G187-E187)*1440,"")</f>
        <v/>
      </c>
      <c r="J187" s="13" t="str">
        <f aca="false">IF(E187="","",IF(ISNUMBER(I187),IF(I187&lt;=60,"OK","VIOLADO"),"Sem contacto"))</f>
        <v/>
      </c>
      <c r="K187" s="13"/>
      <c r="L187" s="13"/>
    </row>
    <row r="188" customFormat="false" ht="15" hidden="false" customHeight="false" outlineLevel="0" collapsed="false">
      <c r="A188" s="12"/>
      <c r="B188" s="12"/>
      <c r="C188" s="12"/>
      <c r="D188" s="12"/>
      <c r="E188" s="23"/>
      <c r="F188" s="13"/>
      <c r="G188" s="23"/>
      <c r="H188" s="13"/>
      <c r="I188" s="15" t="str">
        <f aca="false">IF(AND(ISNUMBER(E188),ISNUMBER(G188)),(G188-E188)*1440,"")</f>
        <v/>
      </c>
      <c r="J188" s="13" t="str">
        <f aca="false">IF(E188="","",IF(ISNUMBER(I188),IF(I188&lt;=60,"OK","VIOLADO"),"Sem contacto"))</f>
        <v/>
      </c>
      <c r="K188" s="13"/>
      <c r="L188" s="13"/>
    </row>
    <row r="189" customFormat="false" ht="15" hidden="false" customHeight="false" outlineLevel="0" collapsed="false">
      <c r="A189" s="12"/>
      <c r="B189" s="12"/>
      <c r="C189" s="12"/>
      <c r="D189" s="12"/>
      <c r="E189" s="23"/>
      <c r="F189" s="13"/>
      <c r="G189" s="23"/>
      <c r="H189" s="13"/>
      <c r="I189" s="15" t="str">
        <f aca="false">IF(AND(ISNUMBER(E189),ISNUMBER(G189)),(G189-E189)*1440,"")</f>
        <v/>
      </c>
      <c r="J189" s="13" t="str">
        <f aca="false">IF(E189="","",IF(ISNUMBER(I189),IF(I189&lt;=60,"OK","VIOLADO"),"Sem contacto"))</f>
        <v/>
      </c>
      <c r="K189" s="13"/>
      <c r="L189" s="13"/>
    </row>
    <row r="190" customFormat="false" ht="15" hidden="false" customHeight="false" outlineLevel="0" collapsed="false">
      <c r="A190" s="12"/>
      <c r="B190" s="12"/>
      <c r="C190" s="12"/>
      <c r="D190" s="12"/>
      <c r="E190" s="23"/>
      <c r="F190" s="13"/>
      <c r="G190" s="23"/>
      <c r="H190" s="13"/>
      <c r="I190" s="15" t="str">
        <f aca="false">IF(AND(ISNUMBER(E190),ISNUMBER(G190)),(G190-E190)*1440,"")</f>
        <v/>
      </c>
      <c r="J190" s="13" t="str">
        <f aca="false">IF(E190="","",IF(ISNUMBER(I190),IF(I190&lt;=60,"OK","VIOLADO"),"Sem contacto"))</f>
        <v/>
      </c>
      <c r="K190" s="13"/>
      <c r="L190" s="13"/>
    </row>
    <row r="191" customFormat="false" ht="15" hidden="false" customHeight="false" outlineLevel="0" collapsed="false">
      <c r="A191" s="12"/>
      <c r="B191" s="12"/>
      <c r="C191" s="12"/>
      <c r="D191" s="12"/>
      <c r="E191" s="23"/>
      <c r="F191" s="13"/>
      <c r="G191" s="23"/>
      <c r="H191" s="13"/>
      <c r="I191" s="15" t="str">
        <f aca="false">IF(AND(ISNUMBER(E191),ISNUMBER(G191)),(G191-E191)*1440,"")</f>
        <v/>
      </c>
      <c r="J191" s="13" t="str">
        <f aca="false">IF(E191="","",IF(ISNUMBER(I191),IF(I191&lt;=60,"OK","VIOLADO"),"Sem contacto"))</f>
        <v/>
      </c>
      <c r="K191" s="13"/>
      <c r="L191" s="13"/>
    </row>
    <row r="192" customFormat="false" ht="15" hidden="false" customHeight="false" outlineLevel="0" collapsed="false">
      <c r="A192" s="12"/>
      <c r="B192" s="12"/>
      <c r="C192" s="12"/>
      <c r="D192" s="12"/>
      <c r="E192" s="23"/>
      <c r="F192" s="13"/>
      <c r="G192" s="23"/>
      <c r="H192" s="13"/>
      <c r="I192" s="15" t="str">
        <f aca="false">IF(AND(ISNUMBER(E192),ISNUMBER(G192)),(G192-E192)*1440,"")</f>
        <v/>
      </c>
      <c r="J192" s="13" t="str">
        <f aca="false">IF(E192="","",IF(ISNUMBER(I192),IF(I192&lt;=60,"OK","VIOLADO"),"Sem contacto"))</f>
        <v/>
      </c>
      <c r="K192" s="13"/>
      <c r="L192" s="13"/>
    </row>
    <row r="193" customFormat="false" ht="15" hidden="false" customHeight="false" outlineLevel="0" collapsed="false">
      <c r="A193" s="12"/>
      <c r="B193" s="12"/>
      <c r="C193" s="12"/>
      <c r="D193" s="12"/>
      <c r="E193" s="23"/>
      <c r="F193" s="13"/>
      <c r="G193" s="23"/>
      <c r="H193" s="13"/>
      <c r="I193" s="15" t="str">
        <f aca="false">IF(AND(ISNUMBER(E193),ISNUMBER(G193)),(G193-E193)*1440,"")</f>
        <v/>
      </c>
      <c r="J193" s="13" t="str">
        <f aca="false">IF(E193="","",IF(ISNUMBER(I193),IF(I193&lt;=60,"OK","VIOLADO"),"Sem contacto"))</f>
        <v/>
      </c>
      <c r="K193" s="13"/>
      <c r="L193" s="13"/>
    </row>
    <row r="194" customFormat="false" ht="15" hidden="false" customHeight="false" outlineLevel="0" collapsed="false">
      <c r="A194" s="12"/>
      <c r="B194" s="12"/>
      <c r="C194" s="12"/>
      <c r="D194" s="12"/>
      <c r="E194" s="23"/>
      <c r="F194" s="13"/>
      <c r="G194" s="23"/>
      <c r="H194" s="13"/>
      <c r="I194" s="15" t="str">
        <f aca="false">IF(AND(ISNUMBER(E194),ISNUMBER(G194)),(G194-E194)*1440,"")</f>
        <v/>
      </c>
      <c r="J194" s="13" t="str">
        <f aca="false">IF(E194="","",IF(ISNUMBER(I194),IF(I194&lt;=60,"OK","VIOLADO"),"Sem contacto"))</f>
        <v/>
      </c>
      <c r="K194" s="13"/>
      <c r="L194" s="13"/>
    </row>
    <row r="195" customFormat="false" ht="15" hidden="false" customHeight="false" outlineLevel="0" collapsed="false">
      <c r="A195" s="12"/>
      <c r="B195" s="12"/>
      <c r="C195" s="12"/>
      <c r="D195" s="12"/>
      <c r="E195" s="23"/>
      <c r="F195" s="13"/>
      <c r="G195" s="23"/>
      <c r="H195" s="13"/>
      <c r="I195" s="15" t="str">
        <f aca="false">IF(AND(ISNUMBER(E195),ISNUMBER(G195)),(G195-E195)*1440,"")</f>
        <v/>
      </c>
      <c r="J195" s="13" t="str">
        <f aca="false">IF(E195="","",IF(ISNUMBER(I195),IF(I195&lt;=60,"OK","VIOLADO"),"Sem contacto"))</f>
        <v/>
      </c>
      <c r="K195" s="13"/>
      <c r="L195" s="13"/>
    </row>
    <row r="196" customFormat="false" ht="15" hidden="false" customHeight="false" outlineLevel="0" collapsed="false">
      <c r="A196" s="12"/>
      <c r="B196" s="12"/>
      <c r="C196" s="12"/>
      <c r="D196" s="12"/>
      <c r="E196" s="23"/>
      <c r="F196" s="13"/>
      <c r="G196" s="23"/>
      <c r="H196" s="13"/>
      <c r="I196" s="15" t="str">
        <f aca="false">IF(AND(ISNUMBER(E196),ISNUMBER(G196)),(G196-E196)*1440,"")</f>
        <v/>
      </c>
      <c r="J196" s="13" t="str">
        <f aca="false">IF(E196="","",IF(ISNUMBER(I196),IF(I196&lt;=60,"OK","VIOLADO"),"Sem contacto"))</f>
        <v/>
      </c>
      <c r="K196" s="13"/>
      <c r="L196" s="13"/>
    </row>
    <row r="197" customFormat="false" ht="15" hidden="false" customHeight="false" outlineLevel="0" collapsed="false">
      <c r="A197" s="12"/>
      <c r="B197" s="12"/>
      <c r="C197" s="12"/>
      <c r="D197" s="12"/>
      <c r="E197" s="23"/>
      <c r="F197" s="13"/>
      <c r="G197" s="23"/>
      <c r="H197" s="13"/>
      <c r="I197" s="15" t="str">
        <f aca="false">IF(AND(ISNUMBER(E197),ISNUMBER(G197)),(G197-E197)*1440,"")</f>
        <v/>
      </c>
      <c r="J197" s="13" t="str">
        <f aca="false">IF(E197="","",IF(ISNUMBER(I197),IF(I197&lt;=60,"OK","VIOLADO"),"Sem contacto"))</f>
        <v/>
      </c>
      <c r="K197" s="13"/>
      <c r="L197" s="13"/>
    </row>
    <row r="198" customFormat="false" ht="15" hidden="false" customHeight="false" outlineLevel="0" collapsed="false">
      <c r="A198" s="12"/>
      <c r="B198" s="12"/>
      <c r="C198" s="12"/>
      <c r="D198" s="12"/>
      <c r="E198" s="23"/>
      <c r="F198" s="13"/>
      <c r="G198" s="23"/>
      <c r="H198" s="13"/>
      <c r="I198" s="15" t="str">
        <f aca="false">IF(AND(ISNUMBER(E198),ISNUMBER(G198)),(G198-E198)*1440,"")</f>
        <v/>
      </c>
      <c r="J198" s="13" t="str">
        <f aca="false">IF(E198="","",IF(ISNUMBER(I198),IF(I198&lt;=60,"OK","VIOLADO"),"Sem contacto"))</f>
        <v/>
      </c>
      <c r="K198" s="13"/>
      <c r="L198" s="13"/>
    </row>
    <row r="199" customFormat="false" ht="15" hidden="false" customHeight="false" outlineLevel="0" collapsed="false">
      <c r="A199" s="12"/>
      <c r="B199" s="12"/>
      <c r="C199" s="12"/>
      <c r="D199" s="12"/>
      <c r="E199" s="23"/>
      <c r="F199" s="13"/>
      <c r="G199" s="23"/>
      <c r="H199" s="13"/>
      <c r="I199" s="15" t="str">
        <f aca="false">IF(AND(ISNUMBER(E199),ISNUMBER(G199)),(G199-E199)*1440,"")</f>
        <v/>
      </c>
      <c r="J199" s="13" t="str">
        <f aca="false">IF(E199="","",IF(ISNUMBER(I199),IF(I199&lt;=60,"OK","VIOLADO"),"Sem contacto"))</f>
        <v/>
      </c>
      <c r="K199" s="13"/>
      <c r="L199" s="13"/>
    </row>
    <row r="200" customFormat="false" ht="15" hidden="false" customHeight="false" outlineLevel="0" collapsed="false">
      <c r="A200" s="12"/>
      <c r="B200" s="12"/>
      <c r="C200" s="12"/>
      <c r="D200" s="12"/>
      <c r="E200" s="23"/>
      <c r="F200" s="13"/>
      <c r="G200" s="23"/>
      <c r="H200" s="13"/>
      <c r="I200" s="15" t="str">
        <f aca="false">IF(AND(ISNUMBER(E200),ISNUMBER(G200)),(G200-E200)*1440,"")</f>
        <v/>
      </c>
      <c r="J200" s="13" t="str">
        <f aca="false">IF(E200="","",IF(ISNUMBER(I200),IF(I200&lt;=60,"OK","VIOLADO"),"Sem contacto"))</f>
        <v/>
      </c>
      <c r="K200" s="13"/>
      <c r="L200" s="13"/>
    </row>
    <row r="201" customFormat="false" ht="15" hidden="false" customHeight="false" outlineLevel="0" collapsed="false">
      <c r="A201" s="12"/>
      <c r="B201" s="12"/>
      <c r="C201" s="12"/>
      <c r="D201" s="12"/>
      <c r="E201" s="23"/>
      <c r="F201" s="13"/>
      <c r="G201" s="23"/>
      <c r="H201" s="13"/>
      <c r="I201" s="15" t="str">
        <f aca="false">IF(AND(ISNUMBER(E201),ISNUMBER(G201)),(G201-E201)*1440,"")</f>
        <v/>
      </c>
      <c r="J201" s="13" t="str">
        <f aca="false">IF(E201="","",IF(ISNUMBER(I201),IF(I201&lt;=60,"OK","VIOLADO"),"Sem contacto"))</f>
        <v/>
      </c>
      <c r="K201" s="13"/>
      <c r="L201" s="13"/>
    </row>
    <row r="202" customFormat="false" ht="15" hidden="false" customHeight="false" outlineLevel="0" collapsed="false">
      <c r="A202" s="12"/>
      <c r="B202" s="12"/>
      <c r="C202" s="12"/>
      <c r="D202" s="12"/>
      <c r="E202" s="23"/>
      <c r="F202" s="13"/>
      <c r="G202" s="23"/>
      <c r="H202" s="13"/>
      <c r="I202" s="15" t="str">
        <f aca="false">IF(AND(ISNUMBER(E202),ISNUMBER(G202)),(G202-E202)*1440,"")</f>
        <v/>
      </c>
      <c r="J202" s="13" t="str">
        <f aca="false">IF(E202="","",IF(ISNUMBER(I202),IF(I202&lt;=60,"OK","VIOLADO"),"Sem contacto"))</f>
        <v/>
      </c>
      <c r="K202" s="13"/>
      <c r="L202" s="13"/>
    </row>
    <row r="203" customFormat="false" ht="15" hidden="false" customHeight="false" outlineLevel="0" collapsed="false">
      <c r="A203" s="12"/>
      <c r="B203" s="12"/>
      <c r="C203" s="12"/>
      <c r="D203" s="12"/>
      <c r="E203" s="23"/>
      <c r="F203" s="13"/>
      <c r="G203" s="23"/>
      <c r="H203" s="13"/>
      <c r="I203" s="15" t="str">
        <f aca="false">IF(AND(ISNUMBER(E203),ISNUMBER(G203)),(G203-E203)*1440,"")</f>
        <v/>
      </c>
      <c r="J203" s="13" t="str">
        <f aca="false">IF(E203="","",IF(ISNUMBER(I203),IF(I203&lt;=60,"OK","VIOLADO"),"Sem contacto"))</f>
        <v/>
      </c>
      <c r="K203" s="13"/>
      <c r="L203" s="13"/>
    </row>
    <row r="204" customFormat="false" ht="15" hidden="false" customHeight="false" outlineLevel="0" collapsed="false">
      <c r="A204" s="12"/>
      <c r="B204" s="12"/>
      <c r="C204" s="12"/>
      <c r="D204" s="12"/>
      <c r="E204" s="23"/>
      <c r="F204" s="13"/>
      <c r="G204" s="23"/>
      <c r="H204" s="13"/>
      <c r="I204" s="15" t="str">
        <f aca="false">IF(AND(ISNUMBER(E204),ISNUMBER(G204)),(G204-E204)*1440,"")</f>
        <v/>
      </c>
      <c r="J204" s="13" t="str">
        <f aca="false">IF(E204="","",IF(ISNUMBER(I204),IF(I204&lt;=60,"OK","VIOLADO"),"Sem contacto"))</f>
        <v/>
      </c>
      <c r="K204" s="13"/>
      <c r="L204" s="13"/>
    </row>
    <row r="205" customFormat="false" ht="15" hidden="false" customHeight="false" outlineLevel="0" collapsed="false">
      <c r="A205" s="12"/>
      <c r="B205" s="12"/>
      <c r="C205" s="12"/>
      <c r="D205" s="12"/>
      <c r="E205" s="23"/>
      <c r="F205" s="13"/>
      <c r="G205" s="23"/>
      <c r="H205" s="13"/>
      <c r="I205" s="15" t="str">
        <f aca="false">IF(AND(ISNUMBER(E205),ISNUMBER(G205)),(G205-E205)*1440,"")</f>
        <v/>
      </c>
      <c r="J205" s="13" t="str">
        <f aca="false">IF(E205="","",IF(ISNUMBER(I205),IF(I205&lt;=60,"OK","VIOLADO"),"Sem contacto"))</f>
        <v/>
      </c>
      <c r="K205" s="13"/>
      <c r="L205" s="13"/>
    </row>
    <row r="206" customFormat="false" ht="15" hidden="false" customHeight="false" outlineLevel="0" collapsed="false">
      <c r="A206" s="12"/>
      <c r="B206" s="12"/>
      <c r="C206" s="12"/>
      <c r="D206" s="12"/>
      <c r="E206" s="23"/>
      <c r="F206" s="13"/>
      <c r="G206" s="23"/>
      <c r="H206" s="13"/>
      <c r="I206" s="15" t="str">
        <f aca="false">IF(AND(ISNUMBER(E206),ISNUMBER(G206)),(G206-E206)*1440,"")</f>
        <v/>
      </c>
      <c r="J206" s="13" t="str">
        <f aca="false">IF(E206="","",IF(ISNUMBER(I206),IF(I206&lt;=60,"OK","VIOLADO"),"Sem contacto"))</f>
        <v/>
      </c>
      <c r="K206" s="13"/>
      <c r="L206" s="13"/>
    </row>
    <row r="207" customFormat="false" ht="15" hidden="false" customHeight="false" outlineLevel="0" collapsed="false">
      <c r="A207" s="12"/>
      <c r="B207" s="12"/>
      <c r="C207" s="12"/>
      <c r="D207" s="12"/>
      <c r="E207" s="23"/>
      <c r="F207" s="13"/>
      <c r="G207" s="23"/>
      <c r="H207" s="13"/>
      <c r="I207" s="15" t="str">
        <f aca="false">IF(AND(ISNUMBER(E207),ISNUMBER(G207)),(G207-E207)*1440,"")</f>
        <v/>
      </c>
      <c r="J207" s="13" t="str">
        <f aca="false">IF(E207="","",IF(ISNUMBER(I207),IF(I207&lt;=60,"OK","VIOLADO"),"Sem contacto"))</f>
        <v/>
      </c>
      <c r="K207" s="13"/>
      <c r="L207" s="13"/>
    </row>
    <row r="208" customFormat="false" ht="15" hidden="false" customHeight="false" outlineLevel="0" collapsed="false">
      <c r="A208" s="12"/>
      <c r="B208" s="12"/>
      <c r="C208" s="12"/>
      <c r="D208" s="12"/>
      <c r="E208" s="23"/>
      <c r="F208" s="13"/>
      <c r="G208" s="23"/>
      <c r="H208" s="13"/>
      <c r="I208" s="15" t="str">
        <f aca="false">IF(AND(ISNUMBER(E208),ISNUMBER(G208)),(G208-E208)*1440,"")</f>
        <v/>
      </c>
      <c r="J208" s="13" t="str">
        <f aca="false">IF(E208="","",IF(ISNUMBER(I208),IF(I208&lt;=60,"OK","VIOLADO"),"Sem contacto"))</f>
        <v/>
      </c>
      <c r="K208" s="13"/>
      <c r="L208" s="13"/>
    </row>
    <row r="209" customFormat="false" ht="15" hidden="false" customHeight="false" outlineLevel="0" collapsed="false">
      <c r="A209" s="12"/>
      <c r="B209" s="12"/>
      <c r="C209" s="12"/>
      <c r="D209" s="12"/>
      <c r="E209" s="23"/>
      <c r="F209" s="13"/>
      <c r="G209" s="23"/>
      <c r="H209" s="13"/>
      <c r="I209" s="15" t="str">
        <f aca="false">IF(AND(ISNUMBER(E209),ISNUMBER(G209)),(G209-E209)*1440,"")</f>
        <v/>
      </c>
      <c r="J209" s="13" t="str">
        <f aca="false">IF(E209="","",IF(ISNUMBER(I209),IF(I209&lt;=60,"OK","VIOLADO"),"Sem contacto"))</f>
        <v/>
      </c>
      <c r="K209" s="13"/>
      <c r="L209" s="13"/>
    </row>
    <row r="210" customFormat="false" ht="15" hidden="false" customHeight="false" outlineLevel="0" collapsed="false">
      <c r="A210" s="12"/>
      <c r="B210" s="12"/>
      <c r="C210" s="12"/>
      <c r="D210" s="12"/>
      <c r="E210" s="23"/>
      <c r="F210" s="13"/>
      <c r="G210" s="23"/>
      <c r="H210" s="13"/>
      <c r="I210" s="15" t="str">
        <f aca="false">IF(AND(ISNUMBER(E210),ISNUMBER(G210)),(G210-E210)*1440,"")</f>
        <v/>
      </c>
      <c r="J210" s="13" t="str">
        <f aca="false">IF(E210="","",IF(ISNUMBER(I210),IF(I210&lt;=60,"OK","VIOLADO"),"Sem contacto"))</f>
        <v/>
      </c>
      <c r="K210" s="13"/>
      <c r="L210" s="13"/>
    </row>
    <row r="211" customFormat="false" ht="15" hidden="false" customHeight="false" outlineLevel="0" collapsed="false">
      <c r="A211" s="12"/>
      <c r="B211" s="12"/>
      <c r="C211" s="12"/>
      <c r="D211" s="12"/>
      <c r="E211" s="23"/>
      <c r="F211" s="13"/>
      <c r="G211" s="23"/>
      <c r="H211" s="13"/>
      <c r="I211" s="15" t="str">
        <f aca="false">IF(AND(ISNUMBER(E211),ISNUMBER(G211)),(G211-E211)*1440,"")</f>
        <v/>
      </c>
      <c r="J211" s="13" t="str">
        <f aca="false">IF(E211="","",IF(ISNUMBER(I211),IF(I211&lt;=60,"OK","VIOLADO"),"Sem contacto"))</f>
        <v/>
      </c>
      <c r="K211" s="13"/>
      <c r="L211" s="13"/>
    </row>
    <row r="212" customFormat="false" ht="15" hidden="false" customHeight="false" outlineLevel="0" collapsed="false">
      <c r="A212" s="12"/>
      <c r="B212" s="12"/>
      <c r="C212" s="12"/>
      <c r="D212" s="12"/>
      <c r="E212" s="23"/>
      <c r="F212" s="13"/>
      <c r="G212" s="23"/>
      <c r="H212" s="13"/>
      <c r="I212" s="15" t="str">
        <f aca="false">IF(AND(ISNUMBER(E212),ISNUMBER(G212)),(G212-E212)*1440,"")</f>
        <v/>
      </c>
      <c r="J212" s="13" t="str">
        <f aca="false">IF(E212="","",IF(ISNUMBER(I212),IF(I212&lt;=60,"OK","VIOLADO"),"Sem contacto"))</f>
        <v/>
      </c>
      <c r="K212" s="13"/>
      <c r="L212" s="13"/>
    </row>
    <row r="213" customFormat="false" ht="15" hidden="false" customHeight="false" outlineLevel="0" collapsed="false">
      <c r="A213" s="12"/>
      <c r="B213" s="12"/>
      <c r="C213" s="12"/>
      <c r="D213" s="12"/>
      <c r="E213" s="23"/>
      <c r="F213" s="13"/>
      <c r="G213" s="23"/>
      <c r="H213" s="13"/>
      <c r="I213" s="15" t="str">
        <f aca="false">IF(AND(ISNUMBER(E213),ISNUMBER(G213)),(G213-E213)*1440,"")</f>
        <v/>
      </c>
      <c r="J213" s="13" t="str">
        <f aca="false">IF(E213="","",IF(ISNUMBER(I213),IF(I213&lt;=60,"OK","VIOLADO"),"Sem contacto"))</f>
        <v/>
      </c>
      <c r="K213" s="13"/>
      <c r="L213" s="13"/>
    </row>
    <row r="214" customFormat="false" ht="15" hidden="false" customHeight="false" outlineLevel="0" collapsed="false">
      <c r="A214" s="12"/>
      <c r="B214" s="12"/>
      <c r="C214" s="12"/>
      <c r="D214" s="12"/>
      <c r="E214" s="23"/>
      <c r="F214" s="13"/>
      <c r="G214" s="23"/>
      <c r="H214" s="13"/>
      <c r="I214" s="15" t="str">
        <f aca="false">IF(AND(ISNUMBER(E214),ISNUMBER(G214)),(G214-E214)*1440,"")</f>
        <v/>
      </c>
      <c r="J214" s="13" t="str">
        <f aca="false">IF(E214="","",IF(ISNUMBER(I214),IF(I214&lt;=60,"OK","VIOLADO"),"Sem contacto"))</f>
        <v/>
      </c>
      <c r="K214" s="13"/>
      <c r="L214" s="13"/>
    </row>
    <row r="215" customFormat="false" ht="15" hidden="false" customHeight="false" outlineLevel="0" collapsed="false">
      <c r="A215" s="12"/>
      <c r="B215" s="12"/>
      <c r="C215" s="12"/>
      <c r="D215" s="12"/>
      <c r="E215" s="23"/>
      <c r="F215" s="13"/>
      <c r="G215" s="23"/>
      <c r="H215" s="13"/>
      <c r="I215" s="15" t="str">
        <f aca="false">IF(AND(ISNUMBER(E215),ISNUMBER(G215)),(G215-E215)*1440,"")</f>
        <v/>
      </c>
      <c r="J215" s="13" t="str">
        <f aca="false">IF(E215="","",IF(ISNUMBER(I215),IF(I215&lt;=60,"OK","VIOLADO"),"Sem contacto"))</f>
        <v/>
      </c>
      <c r="K215" s="13"/>
      <c r="L215" s="13"/>
    </row>
    <row r="216" customFormat="false" ht="15" hidden="false" customHeight="false" outlineLevel="0" collapsed="false">
      <c r="A216" s="12"/>
      <c r="B216" s="12"/>
      <c r="C216" s="12"/>
      <c r="D216" s="12"/>
      <c r="E216" s="23"/>
      <c r="F216" s="13"/>
      <c r="G216" s="23"/>
      <c r="H216" s="13"/>
      <c r="I216" s="15" t="str">
        <f aca="false">IF(AND(ISNUMBER(E216),ISNUMBER(G216)),(G216-E216)*1440,"")</f>
        <v/>
      </c>
      <c r="J216" s="13" t="str">
        <f aca="false">IF(E216="","",IF(ISNUMBER(I216),IF(I216&lt;=60,"OK","VIOLADO"),"Sem contacto"))</f>
        <v/>
      </c>
      <c r="K216" s="13"/>
      <c r="L216" s="13"/>
    </row>
    <row r="217" customFormat="false" ht="15" hidden="false" customHeight="false" outlineLevel="0" collapsed="false">
      <c r="A217" s="12"/>
      <c r="B217" s="12"/>
      <c r="C217" s="12"/>
      <c r="D217" s="12"/>
      <c r="E217" s="23"/>
      <c r="F217" s="13"/>
      <c r="G217" s="23"/>
      <c r="H217" s="13"/>
      <c r="I217" s="15" t="str">
        <f aca="false">IF(AND(ISNUMBER(E217),ISNUMBER(G217)),(G217-E217)*1440,"")</f>
        <v/>
      </c>
      <c r="J217" s="13" t="str">
        <f aca="false">IF(E217="","",IF(ISNUMBER(I217),IF(I217&lt;=60,"OK","VIOLADO"),"Sem contacto"))</f>
        <v/>
      </c>
      <c r="K217" s="13"/>
      <c r="L217" s="13"/>
    </row>
    <row r="218" customFormat="false" ht="15" hidden="false" customHeight="false" outlineLevel="0" collapsed="false">
      <c r="A218" s="12"/>
      <c r="B218" s="12"/>
      <c r="C218" s="12"/>
      <c r="D218" s="12"/>
      <c r="E218" s="23"/>
      <c r="F218" s="13"/>
      <c r="G218" s="23"/>
      <c r="H218" s="13"/>
      <c r="I218" s="15" t="str">
        <f aca="false">IF(AND(ISNUMBER(E218),ISNUMBER(G218)),(G218-E218)*1440,"")</f>
        <v/>
      </c>
      <c r="J218" s="13" t="str">
        <f aca="false">IF(E218="","",IF(ISNUMBER(I218),IF(I218&lt;=60,"OK","VIOLADO"),"Sem contacto"))</f>
        <v/>
      </c>
      <c r="K218" s="13"/>
      <c r="L218" s="13"/>
    </row>
    <row r="219" customFormat="false" ht="15" hidden="false" customHeight="false" outlineLevel="0" collapsed="false">
      <c r="A219" s="12"/>
      <c r="B219" s="12"/>
      <c r="C219" s="12"/>
      <c r="D219" s="12"/>
      <c r="E219" s="23"/>
      <c r="F219" s="13"/>
      <c r="G219" s="23"/>
      <c r="H219" s="13"/>
      <c r="I219" s="15" t="str">
        <f aca="false">IF(AND(ISNUMBER(E219),ISNUMBER(G219)),(G219-E219)*1440,"")</f>
        <v/>
      </c>
      <c r="J219" s="13" t="str">
        <f aca="false">IF(E219="","",IF(ISNUMBER(I219),IF(I219&lt;=60,"OK","VIOLADO"),"Sem contacto"))</f>
        <v/>
      </c>
      <c r="K219" s="13"/>
      <c r="L219" s="13"/>
    </row>
    <row r="220" customFormat="false" ht="15" hidden="false" customHeight="false" outlineLevel="0" collapsed="false">
      <c r="A220" s="12"/>
      <c r="B220" s="12"/>
      <c r="C220" s="12"/>
      <c r="D220" s="12"/>
      <c r="E220" s="23"/>
      <c r="F220" s="13"/>
      <c r="G220" s="23"/>
      <c r="H220" s="13"/>
      <c r="I220" s="15" t="str">
        <f aca="false">IF(AND(ISNUMBER(E220),ISNUMBER(G220)),(G220-E220)*1440,"")</f>
        <v/>
      </c>
      <c r="J220" s="13" t="str">
        <f aca="false">IF(E220="","",IF(ISNUMBER(I220),IF(I220&lt;=60,"OK","VIOLADO"),"Sem contacto"))</f>
        <v/>
      </c>
      <c r="K220" s="13"/>
      <c r="L220" s="13"/>
    </row>
    <row r="221" customFormat="false" ht="15" hidden="false" customHeight="false" outlineLevel="0" collapsed="false">
      <c r="A221" s="12"/>
      <c r="B221" s="12"/>
      <c r="C221" s="12"/>
      <c r="D221" s="12"/>
      <c r="E221" s="23"/>
      <c r="F221" s="13"/>
      <c r="G221" s="23"/>
      <c r="H221" s="13"/>
      <c r="I221" s="15" t="str">
        <f aca="false">IF(AND(ISNUMBER(E221),ISNUMBER(G221)),(G221-E221)*1440,"")</f>
        <v/>
      </c>
      <c r="J221" s="13" t="str">
        <f aca="false">IF(E221="","",IF(ISNUMBER(I221),IF(I221&lt;=60,"OK","VIOLADO"),"Sem contacto"))</f>
        <v/>
      </c>
      <c r="K221" s="13"/>
      <c r="L221" s="13"/>
    </row>
    <row r="222" customFormat="false" ht="15" hidden="false" customHeight="false" outlineLevel="0" collapsed="false">
      <c r="A222" s="12"/>
      <c r="B222" s="12"/>
      <c r="C222" s="12"/>
      <c r="D222" s="12"/>
      <c r="E222" s="23"/>
      <c r="F222" s="13"/>
      <c r="G222" s="23"/>
      <c r="H222" s="13"/>
      <c r="I222" s="15" t="str">
        <f aca="false">IF(AND(ISNUMBER(E222),ISNUMBER(G222)),(G222-E222)*1440,"")</f>
        <v/>
      </c>
      <c r="J222" s="13" t="str">
        <f aca="false">IF(E222="","",IF(ISNUMBER(I222),IF(I222&lt;=60,"OK","VIOLADO"),"Sem contacto"))</f>
        <v/>
      </c>
      <c r="K222" s="13"/>
      <c r="L222" s="13"/>
    </row>
    <row r="223" customFormat="false" ht="15" hidden="false" customHeight="false" outlineLevel="0" collapsed="false">
      <c r="A223" s="12"/>
      <c r="B223" s="12"/>
      <c r="C223" s="12"/>
      <c r="D223" s="12"/>
      <c r="E223" s="23"/>
      <c r="F223" s="13"/>
      <c r="G223" s="23"/>
      <c r="H223" s="13"/>
      <c r="I223" s="15" t="str">
        <f aca="false">IF(AND(ISNUMBER(E223),ISNUMBER(G223)),(G223-E223)*1440,"")</f>
        <v/>
      </c>
      <c r="J223" s="13" t="str">
        <f aca="false">IF(E223="","",IF(ISNUMBER(I223),IF(I223&lt;=60,"OK","VIOLADO"),"Sem contacto"))</f>
        <v/>
      </c>
      <c r="K223" s="13"/>
      <c r="L223" s="13"/>
    </row>
    <row r="224" customFormat="false" ht="15" hidden="false" customHeight="false" outlineLevel="0" collapsed="false">
      <c r="A224" s="12"/>
      <c r="B224" s="12"/>
      <c r="C224" s="12"/>
      <c r="D224" s="12"/>
      <c r="E224" s="23"/>
      <c r="F224" s="13"/>
      <c r="G224" s="23"/>
      <c r="H224" s="13"/>
      <c r="I224" s="15" t="str">
        <f aca="false">IF(AND(ISNUMBER(E224),ISNUMBER(G224)),(G224-E224)*1440,"")</f>
        <v/>
      </c>
      <c r="J224" s="13" t="str">
        <f aca="false">IF(E224="","",IF(ISNUMBER(I224),IF(I224&lt;=60,"OK","VIOLADO"),"Sem contacto"))</f>
        <v/>
      </c>
      <c r="K224" s="13"/>
      <c r="L224" s="13"/>
    </row>
    <row r="225" customFormat="false" ht="15" hidden="false" customHeight="false" outlineLevel="0" collapsed="false">
      <c r="A225" s="12"/>
      <c r="B225" s="12"/>
      <c r="C225" s="12"/>
      <c r="D225" s="12"/>
      <c r="E225" s="23"/>
      <c r="F225" s="13"/>
      <c r="G225" s="23"/>
      <c r="H225" s="13"/>
      <c r="I225" s="15" t="str">
        <f aca="false">IF(AND(ISNUMBER(E225),ISNUMBER(G225)),(G225-E225)*1440,"")</f>
        <v/>
      </c>
      <c r="J225" s="13" t="str">
        <f aca="false">IF(E225="","",IF(ISNUMBER(I225),IF(I225&lt;=60,"OK","VIOLADO"),"Sem contacto"))</f>
        <v/>
      </c>
      <c r="K225" s="13"/>
      <c r="L225" s="13"/>
    </row>
    <row r="226" customFormat="false" ht="15" hidden="false" customHeight="false" outlineLevel="0" collapsed="false">
      <c r="A226" s="12"/>
      <c r="B226" s="12"/>
      <c r="C226" s="12"/>
      <c r="D226" s="12"/>
      <c r="E226" s="23"/>
      <c r="F226" s="13"/>
      <c r="G226" s="23"/>
      <c r="H226" s="13"/>
      <c r="I226" s="15" t="str">
        <f aca="false">IF(AND(ISNUMBER(E226),ISNUMBER(G226)),(G226-E226)*1440,"")</f>
        <v/>
      </c>
      <c r="J226" s="13" t="str">
        <f aca="false">IF(E226="","",IF(ISNUMBER(I226),IF(I226&lt;=60,"OK","VIOLADO"),"Sem contacto"))</f>
        <v/>
      </c>
      <c r="K226" s="13"/>
      <c r="L226" s="13"/>
    </row>
    <row r="227" customFormat="false" ht="15" hidden="false" customHeight="false" outlineLevel="0" collapsed="false">
      <c r="A227" s="12"/>
      <c r="B227" s="12"/>
      <c r="C227" s="12"/>
      <c r="D227" s="12"/>
      <c r="E227" s="23"/>
      <c r="F227" s="13"/>
      <c r="G227" s="23"/>
      <c r="H227" s="13"/>
      <c r="I227" s="15" t="str">
        <f aca="false">IF(AND(ISNUMBER(E227),ISNUMBER(G227)),(G227-E227)*1440,"")</f>
        <v/>
      </c>
      <c r="J227" s="13" t="str">
        <f aca="false">IF(E227="","",IF(ISNUMBER(I227),IF(I227&lt;=60,"OK","VIOLADO"),"Sem contacto"))</f>
        <v/>
      </c>
      <c r="K227" s="13"/>
      <c r="L227" s="13"/>
    </row>
    <row r="228" customFormat="false" ht="15" hidden="false" customHeight="false" outlineLevel="0" collapsed="false">
      <c r="A228" s="12"/>
      <c r="B228" s="12"/>
      <c r="C228" s="12"/>
      <c r="D228" s="12"/>
      <c r="E228" s="23"/>
      <c r="F228" s="13"/>
      <c r="G228" s="23"/>
      <c r="H228" s="13"/>
      <c r="I228" s="15" t="str">
        <f aca="false">IF(AND(ISNUMBER(E228),ISNUMBER(G228)),(G228-E228)*1440,"")</f>
        <v/>
      </c>
      <c r="J228" s="13" t="str">
        <f aca="false">IF(E228="","",IF(ISNUMBER(I228),IF(I228&lt;=60,"OK","VIOLADO"),"Sem contacto"))</f>
        <v/>
      </c>
      <c r="K228" s="13"/>
      <c r="L228" s="13"/>
    </row>
    <row r="229" customFormat="false" ht="15" hidden="false" customHeight="false" outlineLevel="0" collapsed="false">
      <c r="A229" s="12"/>
      <c r="B229" s="12"/>
      <c r="C229" s="12"/>
      <c r="D229" s="12"/>
      <c r="E229" s="23"/>
      <c r="F229" s="13"/>
      <c r="G229" s="23"/>
      <c r="H229" s="13"/>
      <c r="I229" s="15" t="str">
        <f aca="false">IF(AND(ISNUMBER(E229),ISNUMBER(G229)),(G229-E229)*1440,"")</f>
        <v/>
      </c>
      <c r="J229" s="13" t="str">
        <f aca="false">IF(E229="","",IF(ISNUMBER(I229),IF(I229&lt;=60,"OK","VIOLADO"),"Sem contacto"))</f>
        <v/>
      </c>
      <c r="K229" s="13"/>
      <c r="L229" s="13"/>
    </row>
    <row r="230" customFormat="false" ht="15" hidden="false" customHeight="false" outlineLevel="0" collapsed="false">
      <c r="A230" s="12"/>
      <c r="B230" s="12"/>
      <c r="C230" s="12"/>
      <c r="D230" s="12"/>
      <c r="E230" s="23"/>
      <c r="F230" s="13"/>
      <c r="G230" s="23"/>
      <c r="H230" s="13"/>
      <c r="I230" s="15" t="str">
        <f aca="false">IF(AND(ISNUMBER(E230),ISNUMBER(G230)),(G230-E230)*1440,"")</f>
        <v/>
      </c>
      <c r="J230" s="13" t="str">
        <f aca="false">IF(E230="","",IF(ISNUMBER(I230),IF(I230&lt;=60,"OK","VIOLADO"),"Sem contacto"))</f>
        <v/>
      </c>
      <c r="K230" s="13"/>
      <c r="L230" s="13"/>
    </row>
    <row r="231" customFormat="false" ht="15" hidden="false" customHeight="false" outlineLevel="0" collapsed="false">
      <c r="A231" s="12"/>
      <c r="B231" s="12"/>
      <c r="C231" s="12"/>
      <c r="D231" s="12"/>
      <c r="E231" s="23"/>
      <c r="F231" s="13"/>
      <c r="G231" s="23"/>
      <c r="H231" s="13"/>
      <c r="I231" s="15" t="str">
        <f aca="false">IF(AND(ISNUMBER(E231),ISNUMBER(G231)),(G231-E231)*1440,"")</f>
        <v/>
      </c>
      <c r="J231" s="13" t="str">
        <f aca="false">IF(E231="","",IF(ISNUMBER(I231),IF(I231&lt;=60,"OK","VIOLADO"),"Sem contacto"))</f>
        <v/>
      </c>
      <c r="K231" s="13"/>
      <c r="L231" s="13"/>
    </row>
    <row r="232" customFormat="false" ht="15" hidden="false" customHeight="false" outlineLevel="0" collapsed="false">
      <c r="A232" s="12"/>
      <c r="B232" s="12"/>
      <c r="C232" s="12"/>
      <c r="D232" s="12"/>
      <c r="E232" s="23"/>
      <c r="F232" s="13"/>
      <c r="G232" s="23"/>
      <c r="H232" s="13"/>
      <c r="I232" s="15" t="str">
        <f aca="false">IF(AND(ISNUMBER(E232),ISNUMBER(G232)),(G232-E232)*1440,"")</f>
        <v/>
      </c>
      <c r="J232" s="13" t="str">
        <f aca="false">IF(E232="","",IF(ISNUMBER(I232),IF(I232&lt;=60,"OK","VIOLADO"),"Sem contacto"))</f>
        <v/>
      </c>
      <c r="K232" s="13"/>
      <c r="L232" s="13"/>
    </row>
    <row r="233" customFormat="false" ht="15" hidden="false" customHeight="false" outlineLevel="0" collapsed="false">
      <c r="A233" s="12"/>
      <c r="B233" s="12"/>
      <c r="C233" s="12"/>
      <c r="D233" s="12"/>
      <c r="E233" s="23"/>
      <c r="F233" s="13"/>
      <c r="G233" s="23"/>
      <c r="H233" s="13"/>
      <c r="I233" s="15" t="str">
        <f aca="false">IF(AND(ISNUMBER(E233),ISNUMBER(G233)),(G233-E233)*1440,"")</f>
        <v/>
      </c>
      <c r="J233" s="13" t="str">
        <f aca="false">IF(E233="","",IF(ISNUMBER(I233),IF(I233&lt;=60,"OK","VIOLADO"),"Sem contacto"))</f>
        <v/>
      </c>
      <c r="K233" s="13"/>
      <c r="L233" s="13"/>
    </row>
    <row r="234" customFormat="false" ht="15" hidden="false" customHeight="false" outlineLevel="0" collapsed="false">
      <c r="A234" s="12"/>
      <c r="B234" s="12"/>
      <c r="C234" s="12"/>
      <c r="D234" s="12"/>
      <c r="E234" s="23"/>
      <c r="F234" s="13"/>
      <c r="G234" s="23"/>
      <c r="H234" s="13"/>
      <c r="I234" s="15" t="str">
        <f aca="false">IF(AND(ISNUMBER(E234),ISNUMBER(G234)),(G234-E234)*1440,"")</f>
        <v/>
      </c>
      <c r="J234" s="13" t="str">
        <f aca="false">IF(E234="","",IF(ISNUMBER(I234),IF(I234&lt;=60,"OK","VIOLADO"),"Sem contacto"))</f>
        <v/>
      </c>
      <c r="K234" s="13"/>
      <c r="L234" s="13"/>
    </row>
    <row r="235" customFormat="false" ht="15" hidden="false" customHeight="false" outlineLevel="0" collapsed="false">
      <c r="A235" s="12"/>
      <c r="B235" s="12"/>
      <c r="C235" s="12"/>
      <c r="D235" s="12"/>
      <c r="E235" s="23"/>
      <c r="F235" s="13"/>
      <c r="G235" s="23"/>
      <c r="H235" s="13"/>
      <c r="I235" s="15" t="str">
        <f aca="false">IF(AND(ISNUMBER(E235),ISNUMBER(G235)),(G235-E235)*1440,"")</f>
        <v/>
      </c>
      <c r="J235" s="13" t="str">
        <f aca="false">IF(E235="","",IF(ISNUMBER(I235),IF(I235&lt;=60,"OK","VIOLADO"),"Sem contacto"))</f>
        <v/>
      </c>
      <c r="K235" s="13"/>
      <c r="L235" s="13"/>
    </row>
    <row r="236" customFormat="false" ht="15" hidden="false" customHeight="false" outlineLevel="0" collapsed="false">
      <c r="A236" s="12"/>
      <c r="B236" s="12"/>
      <c r="C236" s="12"/>
      <c r="D236" s="12"/>
      <c r="E236" s="23"/>
      <c r="F236" s="13"/>
      <c r="G236" s="23"/>
      <c r="H236" s="13"/>
      <c r="I236" s="15" t="str">
        <f aca="false">IF(AND(ISNUMBER(E236),ISNUMBER(G236)),(G236-E236)*1440,"")</f>
        <v/>
      </c>
      <c r="J236" s="13" t="str">
        <f aca="false">IF(E236="","",IF(ISNUMBER(I236),IF(I236&lt;=60,"OK","VIOLADO"),"Sem contacto"))</f>
        <v/>
      </c>
      <c r="K236" s="13"/>
      <c r="L236" s="13"/>
    </row>
    <row r="237" customFormat="false" ht="15" hidden="false" customHeight="false" outlineLevel="0" collapsed="false">
      <c r="A237" s="12"/>
      <c r="B237" s="12"/>
      <c r="C237" s="12"/>
      <c r="D237" s="12"/>
      <c r="E237" s="23"/>
      <c r="F237" s="13"/>
      <c r="G237" s="23"/>
      <c r="H237" s="13"/>
      <c r="I237" s="15" t="str">
        <f aca="false">IF(AND(ISNUMBER(E237),ISNUMBER(G237)),(G237-E237)*1440,"")</f>
        <v/>
      </c>
      <c r="J237" s="13" t="str">
        <f aca="false">IF(E237="","",IF(ISNUMBER(I237),IF(I237&lt;=60,"OK","VIOLADO"),"Sem contacto"))</f>
        <v/>
      </c>
      <c r="K237" s="13"/>
      <c r="L237" s="13"/>
    </row>
    <row r="238" customFormat="false" ht="15" hidden="false" customHeight="false" outlineLevel="0" collapsed="false">
      <c r="A238" s="12"/>
      <c r="B238" s="12"/>
      <c r="C238" s="12"/>
      <c r="D238" s="12"/>
      <c r="E238" s="23"/>
      <c r="F238" s="13"/>
      <c r="G238" s="23"/>
      <c r="H238" s="13"/>
      <c r="I238" s="15" t="str">
        <f aca="false">IF(AND(ISNUMBER(E238),ISNUMBER(G238)),(G238-E238)*1440,"")</f>
        <v/>
      </c>
      <c r="J238" s="13" t="str">
        <f aca="false">IF(E238="","",IF(ISNUMBER(I238),IF(I238&lt;=60,"OK","VIOLADO"),"Sem contacto"))</f>
        <v/>
      </c>
      <c r="K238" s="13"/>
      <c r="L238" s="13"/>
    </row>
    <row r="239" customFormat="false" ht="15" hidden="false" customHeight="false" outlineLevel="0" collapsed="false">
      <c r="A239" s="12"/>
      <c r="B239" s="12"/>
      <c r="C239" s="12"/>
      <c r="D239" s="12"/>
      <c r="E239" s="23"/>
      <c r="F239" s="13"/>
      <c r="G239" s="23"/>
      <c r="H239" s="13"/>
      <c r="I239" s="15" t="str">
        <f aca="false">IF(AND(ISNUMBER(E239),ISNUMBER(G239)),(G239-E239)*1440,"")</f>
        <v/>
      </c>
      <c r="J239" s="13" t="str">
        <f aca="false">IF(E239="","",IF(ISNUMBER(I239),IF(I239&lt;=60,"OK","VIOLADO"),"Sem contacto"))</f>
        <v/>
      </c>
      <c r="K239" s="13"/>
      <c r="L239" s="13"/>
    </row>
    <row r="240" customFormat="false" ht="15" hidden="false" customHeight="false" outlineLevel="0" collapsed="false">
      <c r="A240" s="12"/>
      <c r="B240" s="12"/>
      <c r="C240" s="12"/>
      <c r="D240" s="12"/>
      <c r="E240" s="23"/>
      <c r="F240" s="13"/>
      <c r="G240" s="23"/>
      <c r="H240" s="13"/>
      <c r="I240" s="15" t="str">
        <f aca="false">IF(AND(ISNUMBER(E240),ISNUMBER(G240)),(G240-E240)*1440,"")</f>
        <v/>
      </c>
      <c r="J240" s="13" t="str">
        <f aca="false">IF(E240="","",IF(ISNUMBER(I240),IF(I240&lt;=60,"OK","VIOLADO"),"Sem contacto"))</f>
        <v/>
      </c>
      <c r="K240" s="13"/>
      <c r="L240" s="13"/>
    </row>
    <row r="241" customFormat="false" ht="15" hidden="false" customHeight="false" outlineLevel="0" collapsed="false">
      <c r="A241" s="12"/>
      <c r="B241" s="12"/>
      <c r="C241" s="12"/>
      <c r="D241" s="12"/>
      <c r="E241" s="23"/>
      <c r="F241" s="13"/>
      <c r="G241" s="23"/>
      <c r="H241" s="13"/>
      <c r="I241" s="15" t="str">
        <f aca="false">IF(AND(ISNUMBER(E241),ISNUMBER(G241)),(G241-E241)*1440,"")</f>
        <v/>
      </c>
      <c r="J241" s="13" t="str">
        <f aca="false">IF(E241="","",IF(ISNUMBER(I241),IF(I241&lt;=60,"OK","VIOLADO"),"Sem contacto"))</f>
        <v/>
      </c>
      <c r="K241" s="13"/>
      <c r="L241" s="13"/>
    </row>
    <row r="242" customFormat="false" ht="15" hidden="false" customHeight="false" outlineLevel="0" collapsed="false">
      <c r="A242" s="12"/>
      <c r="B242" s="12"/>
      <c r="C242" s="12"/>
      <c r="D242" s="12"/>
      <c r="E242" s="23"/>
      <c r="F242" s="13"/>
      <c r="G242" s="23"/>
      <c r="H242" s="13"/>
      <c r="I242" s="15" t="str">
        <f aca="false">IF(AND(ISNUMBER(E242),ISNUMBER(G242)),(G242-E242)*1440,"")</f>
        <v/>
      </c>
      <c r="J242" s="13" t="str">
        <f aca="false">IF(E242="","",IF(ISNUMBER(I242),IF(I242&lt;=60,"OK","VIOLADO"),"Sem contacto"))</f>
        <v/>
      </c>
      <c r="K242" s="13"/>
      <c r="L242" s="13"/>
    </row>
    <row r="243" customFormat="false" ht="15" hidden="false" customHeight="false" outlineLevel="0" collapsed="false">
      <c r="A243" s="12"/>
      <c r="B243" s="12"/>
      <c r="C243" s="12"/>
      <c r="D243" s="12"/>
      <c r="E243" s="23"/>
      <c r="F243" s="13"/>
      <c r="G243" s="23"/>
      <c r="H243" s="13"/>
      <c r="I243" s="15" t="str">
        <f aca="false">IF(AND(ISNUMBER(E243),ISNUMBER(G243)),(G243-E243)*1440,"")</f>
        <v/>
      </c>
      <c r="J243" s="13" t="str">
        <f aca="false">IF(E243="","",IF(ISNUMBER(I243),IF(I243&lt;=60,"OK","VIOLADO"),"Sem contacto"))</f>
        <v/>
      </c>
      <c r="K243" s="13"/>
      <c r="L243" s="13"/>
    </row>
    <row r="244" customFormat="false" ht="15" hidden="false" customHeight="false" outlineLevel="0" collapsed="false">
      <c r="A244" s="12"/>
      <c r="B244" s="12"/>
      <c r="C244" s="12"/>
      <c r="D244" s="12"/>
      <c r="E244" s="23"/>
      <c r="F244" s="13"/>
      <c r="G244" s="23"/>
      <c r="H244" s="13"/>
      <c r="I244" s="15" t="str">
        <f aca="false">IF(AND(ISNUMBER(E244),ISNUMBER(G244)),(G244-E244)*1440,"")</f>
        <v/>
      </c>
      <c r="J244" s="13" t="str">
        <f aca="false">IF(E244="","",IF(ISNUMBER(I244),IF(I244&lt;=60,"OK","VIOLADO"),"Sem contacto"))</f>
        <v/>
      </c>
      <c r="K244" s="13"/>
      <c r="L244" s="13"/>
    </row>
    <row r="245" customFormat="false" ht="15" hidden="false" customHeight="false" outlineLevel="0" collapsed="false">
      <c r="A245" s="12"/>
      <c r="B245" s="12"/>
      <c r="C245" s="12"/>
      <c r="D245" s="12"/>
      <c r="E245" s="23"/>
      <c r="F245" s="13"/>
      <c r="G245" s="23"/>
      <c r="H245" s="13"/>
      <c r="I245" s="15" t="str">
        <f aca="false">IF(AND(ISNUMBER(E245),ISNUMBER(G245)),(G245-E245)*1440,"")</f>
        <v/>
      </c>
      <c r="J245" s="13" t="str">
        <f aca="false">IF(E245="","",IF(ISNUMBER(I245),IF(I245&lt;=60,"OK","VIOLADO"),"Sem contacto"))</f>
        <v/>
      </c>
      <c r="K245" s="13"/>
      <c r="L245" s="13"/>
    </row>
    <row r="246" customFormat="false" ht="15" hidden="false" customHeight="false" outlineLevel="0" collapsed="false">
      <c r="A246" s="12"/>
      <c r="B246" s="12"/>
      <c r="C246" s="12"/>
      <c r="D246" s="12"/>
      <c r="E246" s="23"/>
      <c r="F246" s="13"/>
      <c r="G246" s="23"/>
      <c r="H246" s="13"/>
      <c r="I246" s="15" t="str">
        <f aca="false">IF(AND(ISNUMBER(E246),ISNUMBER(G246)),(G246-E246)*1440,"")</f>
        <v/>
      </c>
      <c r="J246" s="13" t="str">
        <f aca="false">IF(E246="","",IF(ISNUMBER(I246),IF(I246&lt;=60,"OK","VIOLADO"),"Sem contacto"))</f>
        <v/>
      </c>
      <c r="K246" s="13"/>
      <c r="L246" s="13"/>
    </row>
    <row r="247" customFormat="false" ht="15" hidden="false" customHeight="false" outlineLevel="0" collapsed="false">
      <c r="A247" s="12"/>
      <c r="B247" s="12"/>
      <c r="C247" s="12"/>
      <c r="D247" s="12"/>
      <c r="E247" s="23"/>
      <c r="F247" s="13"/>
      <c r="G247" s="23"/>
      <c r="H247" s="13"/>
      <c r="I247" s="15" t="str">
        <f aca="false">IF(AND(ISNUMBER(E247),ISNUMBER(G247)),(G247-E247)*1440,"")</f>
        <v/>
      </c>
      <c r="J247" s="13" t="str">
        <f aca="false">IF(E247="","",IF(ISNUMBER(I247),IF(I247&lt;=60,"OK","VIOLADO"),"Sem contacto"))</f>
        <v/>
      </c>
      <c r="K247" s="13"/>
      <c r="L247" s="13"/>
    </row>
    <row r="248" customFormat="false" ht="15" hidden="false" customHeight="false" outlineLevel="0" collapsed="false">
      <c r="A248" s="12"/>
      <c r="B248" s="12"/>
      <c r="C248" s="12"/>
      <c r="D248" s="12"/>
      <c r="E248" s="23"/>
      <c r="F248" s="13"/>
      <c r="G248" s="23"/>
      <c r="H248" s="13"/>
      <c r="I248" s="15" t="str">
        <f aca="false">IF(AND(ISNUMBER(E248),ISNUMBER(G248)),(G248-E248)*1440,"")</f>
        <v/>
      </c>
      <c r="J248" s="13" t="str">
        <f aca="false">IF(E248="","",IF(ISNUMBER(I248),IF(I248&lt;=60,"OK","VIOLADO"),"Sem contacto"))</f>
        <v/>
      </c>
      <c r="K248" s="13"/>
      <c r="L248" s="13"/>
    </row>
    <row r="249" customFormat="false" ht="15" hidden="false" customHeight="false" outlineLevel="0" collapsed="false">
      <c r="A249" s="12"/>
      <c r="B249" s="12"/>
      <c r="C249" s="12"/>
      <c r="D249" s="12"/>
      <c r="E249" s="23"/>
      <c r="F249" s="13"/>
      <c r="G249" s="23"/>
      <c r="H249" s="13"/>
      <c r="I249" s="15" t="str">
        <f aca="false">IF(AND(ISNUMBER(E249),ISNUMBER(G249)),(G249-E249)*1440,"")</f>
        <v/>
      </c>
      <c r="J249" s="13" t="str">
        <f aca="false">IF(E249="","",IF(ISNUMBER(I249),IF(I249&lt;=60,"OK","VIOLADO"),"Sem contacto"))</f>
        <v/>
      </c>
      <c r="K249" s="13"/>
      <c r="L249" s="13"/>
    </row>
    <row r="250" customFormat="false" ht="15" hidden="false" customHeight="false" outlineLevel="0" collapsed="false">
      <c r="A250" s="12"/>
      <c r="B250" s="12"/>
      <c r="C250" s="12"/>
      <c r="D250" s="12"/>
      <c r="E250" s="23"/>
      <c r="F250" s="13"/>
      <c r="G250" s="23"/>
      <c r="H250" s="13"/>
      <c r="I250" s="15" t="str">
        <f aca="false">IF(AND(ISNUMBER(E250),ISNUMBER(G250)),(G250-E250)*1440,"")</f>
        <v/>
      </c>
      <c r="J250" s="13" t="str">
        <f aca="false">IF(E250="","",IF(ISNUMBER(I250),IF(I250&lt;=60,"OK","VIOLADO"),"Sem contacto"))</f>
        <v/>
      </c>
      <c r="K250" s="13"/>
      <c r="L250" s="13"/>
    </row>
    <row r="251" customFormat="false" ht="15" hidden="false" customHeight="false" outlineLevel="0" collapsed="false">
      <c r="A251" s="12"/>
      <c r="B251" s="12"/>
      <c r="C251" s="12"/>
      <c r="D251" s="12"/>
      <c r="E251" s="23"/>
      <c r="F251" s="13"/>
      <c r="G251" s="23"/>
      <c r="H251" s="13"/>
      <c r="I251" s="15" t="str">
        <f aca="false">IF(AND(ISNUMBER(E251),ISNUMBER(G251)),(G251-E251)*1440,"")</f>
        <v/>
      </c>
      <c r="J251" s="13" t="str">
        <f aca="false">IF(E251="","",IF(ISNUMBER(I251),IF(I251&lt;=60,"OK","VIOLADO"),"Sem contacto"))</f>
        <v/>
      </c>
      <c r="K251" s="13"/>
      <c r="L251" s="13"/>
    </row>
    <row r="252" customFormat="false" ht="15" hidden="false" customHeight="false" outlineLevel="0" collapsed="false">
      <c r="A252" s="12"/>
      <c r="B252" s="12"/>
      <c r="C252" s="12"/>
      <c r="D252" s="12"/>
      <c r="E252" s="23"/>
      <c r="F252" s="13"/>
      <c r="G252" s="23"/>
      <c r="H252" s="13"/>
      <c r="I252" s="15" t="str">
        <f aca="false">IF(AND(ISNUMBER(E252),ISNUMBER(G252)),(G252-E252)*1440,"")</f>
        <v/>
      </c>
      <c r="J252" s="13" t="str">
        <f aca="false">IF(E252="","",IF(ISNUMBER(I252),IF(I252&lt;=60,"OK","VIOLADO"),"Sem contacto"))</f>
        <v/>
      </c>
      <c r="K252" s="13"/>
      <c r="L252" s="13"/>
    </row>
    <row r="253" customFormat="false" ht="15" hidden="false" customHeight="false" outlineLevel="0" collapsed="false">
      <c r="A253" s="12"/>
      <c r="B253" s="12"/>
      <c r="C253" s="12"/>
      <c r="D253" s="12"/>
      <c r="E253" s="23"/>
      <c r="F253" s="13"/>
      <c r="G253" s="23"/>
      <c r="H253" s="13"/>
      <c r="I253" s="15" t="str">
        <f aca="false">IF(AND(ISNUMBER(E253),ISNUMBER(G253)),(G253-E253)*1440,"")</f>
        <v/>
      </c>
      <c r="J253" s="13" t="str">
        <f aca="false">IF(E253="","",IF(ISNUMBER(I253),IF(I253&lt;=60,"OK","VIOLADO"),"Sem contacto"))</f>
        <v/>
      </c>
      <c r="K253" s="13"/>
      <c r="L253" s="13"/>
    </row>
    <row r="254" customFormat="false" ht="15" hidden="false" customHeight="false" outlineLevel="0" collapsed="false">
      <c r="A254" s="12"/>
      <c r="B254" s="12"/>
      <c r="C254" s="12"/>
      <c r="D254" s="12"/>
      <c r="E254" s="23"/>
      <c r="F254" s="13"/>
      <c r="G254" s="23"/>
      <c r="H254" s="13"/>
      <c r="I254" s="15" t="str">
        <f aca="false">IF(AND(ISNUMBER(E254),ISNUMBER(G254)),(G254-E254)*1440,"")</f>
        <v/>
      </c>
      <c r="J254" s="13" t="str">
        <f aca="false">IF(E254="","",IF(ISNUMBER(I254),IF(I254&lt;=60,"OK","VIOLADO"),"Sem contacto"))</f>
        <v/>
      </c>
      <c r="K254" s="13"/>
      <c r="L254" s="13"/>
    </row>
    <row r="255" customFormat="false" ht="15" hidden="false" customHeight="false" outlineLevel="0" collapsed="false">
      <c r="A255" s="12"/>
      <c r="B255" s="12"/>
      <c r="C255" s="12"/>
      <c r="D255" s="12"/>
      <c r="E255" s="23"/>
      <c r="F255" s="13"/>
      <c r="G255" s="23"/>
      <c r="H255" s="13"/>
      <c r="I255" s="15" t="str">
        <f aca="false">IF(AND(ISNUMBER(E255),ISNUMBER(G255)),(G255-E255)*1440,"")</f>
        <v/>
      </c>
      <c r="J255" s="13" t="str">
        <f aca="false">IF(E255="","",IF(ISNUMBER(I255),IF(I255&lt;=60,"OK","VIOLADO"),"Sem contacto"))</f>
        <v/>
      </c>
      <c r="K255" s="13"/>
      <c r="L255" s="13"/>
    </row>
    <row r="256" customFormat="false" ht="15" hidden="false" customHeight="false" outlineLevel="0" collapsed="false">
      <c r="A256" s="12"/>
      <c r="B256" s="12"/>
      <c r="C256" s="12"/>
      <c r="D256" s="12"/>
      <c r="E256" s="23"/>
      <c r="F256" s="13"/>
      <c r="G256" s="23"/>
      <c r="H256" s="13"/>
      <c r="I256" s="15" t="str">
        <f aca="false">IF(AND(ISNUMBER(E256),ISNUMBER(G256)),(G256-E256)*1440,"")</f>
        <v/>
      </c>
      <c r="J256" s="13" t="str">
        <f aca="false">IF(E256="","",IF(ISNUMBER(I256),IF(I256&lt;=60,"OK","VIOLADO"),"Sem contacto"))</f>
        <v/>
      </c>
      <c r="K256" s="13"/>
      <c r="L256" s="13"/>
    </row>
    <row r="257" customFormat="false" ht="15" hidden="false" customHeight="false" outlineLevel="0" collapsed="false">
      <c r="A257" s="12"/>
      <c r="B257" s="12"/>
      <c r="C257" s="12"/>
      <c r="D257" s="12"/>
      <c r="E257" s="23"/>
      <c r="F257" s="13"/>
      <c r="G257" s="23"/>
      <c r="H257" s="13"/>
      <c r="I257" s="15" t="str">
        <f aca="false">IF(AND(ISNUMBER(E257),ISNUMBER(G257)),(G257-E257)*1440,"")</f>
        <v/>
      </c>
      <c r="J257" s="13" t="str">
        <f aca="false">IF(E257="","",IF(ISNUMBER(I257),IF(I257&lt;=60,"OK","VIOLADO"),"Sem contacto"))</f>
        <v/>
      </c>
      <c r="K257" s="13"/>
      <c r="L257" s="13"/>
    </row>
    <row r="258" customFormat="false" ht="15" hidden="false" customHeight="false" outlineLevel="0" collapsed="false">
      <c r="A258" s="12"/>
      <c r="B258" s="12"/>
      <c r="C258" s="12"/>
      <c r="D258" s="12"/>
      <c r="E258" s="23"/>
      <c r="F258" s="13"/>
      <c r="G258" s="23"/>
      <c r="H258" s="13"/>
      <c r="I258" s="15" t="str">
        <f aca="false">IF(AND(ISNUMBER(E258),ISNUMBER(G258)),(G258-E258)*1440,"")</f>
        <v/>
      </c>
      <c r="J258" s="13" t="str">
        <f aca="false">IF(E258="","",IF(ISNUMBER(I258),IF(I258&lt;=60,"OK","VIOLADO"),"Sem contacto"))</f>
        <v/>
      </c>
      <c r="K258" s="13"/>
      <c r="L258" s="13"/>
    </row>
    <row r="259" customFormat="false" ht="15" hidden="false" customHeight="false" outlineLevel="0" collapsed="false">
      <c r="A259" s="12"/>
      <c r="B259" s="12"/>
      <c r="C259" s="12"/>
      <c r="D259" s="12"/>
      <c r="E259" s="23"/>
      <c r="F259" s="13"/>
      <c r="G259" s="23"/>
      <c r="H259" s="13"/>
      <c r="I259" s="15" t="str">
        <f aca="false">IF(AND(ISNUMBER(E259),ISNUMBER(G259)),(G259-E259)*1440,"")</f>
        <v/>
      </c>
      <c r="J259" s="13" t="str">
        <f aca="false">IF(E259="","",IF(ISNUMBER(I259),IF(I259&lt;=60,"OK","VIOLADO"),"Sem contacto"))</f>
        <v/>
      </c>
      <c r="K259" s="13"/>
      <c r="L259" s="13"/>
    </row>
    <row r="260" customFormat="false" ht="15" hidden="false" customHeight="false" outlineLevel="0" collapsed="false">
      <c r="A260" s="12"/>
      <c r="B260" s="12"/>
      <c r="C260" s="12"/>
      <c r="D260" s="12"/>
      <c r="E260" s="23"/>
      <c r="F260" s="13"/>
      <c r="G260" s="23"/>
      <c r="H260" s="13"/>
      <c r="I260" s="15" t="str">
        <f aca="false">IF(AND(ISNUMBER(E260),ISNUMBER(G260)),(G260-E260)*1440,"")</f>
        <v/>
      </c>
      <c r="J260" s="13" t="str">
        <f aca="false">IF(E260="","",IF(ISNUMBER(I260),IF(I260&lt;=60,"OK","VIOLADO"),"Sem contacto"))</f>
        <v/>
      </c>
      <c r="K260" s="13"/>
      <c r="L260" s="13"/>
    </row>
    <row r="261" customFormat="false" ht="15" hidden="false" customHeight="false" outlineLevel="0" collapsed="false">
      <c r="A261" s="12"/>
      <c r="B261" s="12"/>
      <c r="C261" s="12"/>
      <c r="D261" s="12"/>
      <c r="E261" s="23"/>
      <c r="F261" s="13"/>
      <c r="G261" s="23"/>
      <c r="H261" s="13"/>
      <c r="I261" s="15" t="str">
        <f aca="false">IF(AND(ISNUMBER(E261),ISNUMBER(G261)),(G261-E261)*1440,"")</f>
        <v/>
      </c>
      <c r="J261" s="13" t="str">
        <f aca="false">IF(E261="","",IF(ISNUMBER(I261),IF(I261&lt;=60,"OK","VIOLADO"),"Sem contacto"))</f>
        <v/>
      </c>
      <c r="K261" s="13"/>
      <c r="L261" s="13"/>
    </row>
    <row r="262" customFormat="false" ht="15" hidden="false" customHeight="false" outlineLevel="0" collapsed="false">
      <c r="A262" s="12"/>
      <c r="B262" s="12"/>
      <c r="C262" s="12"/>
      <c r="D262" s="12"/>
      <c r="E262" s="23"/>
      <c r="F262" s="13"/>
      <c r="G262" s="23"/>
      <c r="H262" s="13"/>
      <c r="I262" s="15" t="str">
        <f aca="false">IF(AND(ISNUMBER(E262),ISNUMBER(G262)),(G262-E262)*1440,"")</f>
        <v/>
      </c>
      <c r="J262" s="13" t="str">
        <f aca="false">IF(E262="","",IF(ISNUMBER(I262),IF(I262&lt;=60,"OK","VIOLADO"),"Sem contacto"))</f>
        <v/>
      </c>
      <c r="K262" s="13"/>
      <c r="L262" s="13"/>
    </row>
    <row r="263" customFormat="false" ht="15" hidden="false" customHeight="false" outlineLevel="0" collapsed="false">
      <c r="A263" s="12"/>
      <c r="B263" s="12"/>
      <c r="C263" s="12"/>
      <c r="D263" s="12"/>
      <c r="E263" s="23"/>
      <c r="F263" s="13"/>
      <c r="G263" s="23"/>
      <c r="H263" s="13"/>
      <c r="I263" s="15" t="str">
        <f aca="false">IF(AND(ISNUMBER(E263),ISNUMBER(G263)),(G263-E263)*1440,"")</f>
        <v/>
      </c>
      <c r="J263" s="13" t="str">
        <f aca="false">IF(E263="","",IF(ISNUMBER(I263),IF(I263&lt;=60,"OK","VIOLADO"),"Sem contacto"))</f>
        <v/>
      </c>
      <c r="K263" s="13"/>
      <c r="L263" s="13"/>
    </row>
    <row r="264" customFormat="false" ht="15" hidden="false" customHeight="false" outlineLevel="0" collapsed="false">
      <c r="A264" s="12"/>
      <c r="B264" s="12"/>
      <c r="C264" s="12"/>
      <c r="D264" s="12"/>
      <c r="E264" s="23"/>
      <c r="F264" s="13"/>
      <c r="G264" s="23"/>
      <c r="H264" s="13"/>
      <c r="I264" s="15" t="str">
        <f aca="false">IF(AND(ISNUMBER(E264),ISNUMBER(G264)),(G264-E264)*1440,"")</f>
        <v/>
      </c>
      <c r="J264" s="13" t="str">
        <f aca="false">IF(E264="","",IF(ISNUMBER(I264),IF(I264&lt;=60,"OK","VIOLADO"),"Sem contacto"))</f>
        <v/>
      </c>
      <c r="K264" s="13"/>
      <c r="L264" s="13"/>
    </row>
    <row r="265" customFormat="false" ht="15" hidden="false" customHeight="false" outlineLevel="0" collapsed="false">
      <c r="A265" s="12"/>
      <c r="B265" s="12"/>
      <c r="C265" s="12"/>
      <c r="D265" s="12"/>
      <c r="E265" s="23"/>
      <c r="F265" s="13"/>
      <c r="G265" s="23"/>
      <c r="H265" s="13"/>
      <c r="I265" s="15" t="str">
        <f aca="false">IF(AND(ISNUMBER(E265),ISNUMBER(G265)),(G265-E265)*1440,"")</f>
        <v/>
      </c>
      <c r="J265" s="13" t="str">
        <f aca="false">IF(E265="","",IF(ISNUMBER(I265),IF(I265&lt;=60,"OK","VIOLADO"),"Sem contacto"))</f>
        <v/>
      </c>
      <c r="K265" s="13"/>
      <c r="L265" s="13"/>
    </row>
    <row r="266" customFormat="false" ht="15" hidden="false" customHeight="false" outlineLevel="0" collapsed="false">
      <c r="A266" s="12"/>
      <c r="B266" s="12"/>
      <c r="C266" s="12"/>
      <c r="D266" s="12"/>
      <c r="E266" s="23"/>
      <c r="F266" s="13"/>
      <c r="G266" s="23"/>
      <c r="H266" s="13"/>
      <c r="I266" s="15" t="str">
        <f aca="false">IF(AND(ISNUMBER(E266),ISNUMBER(G266)),(G266-E266)*1440,"")</f>
        <v/>
      </c>
      <c r="J266" s="13" t="str">
        <f aca="false">IF(E266="","",IF(ISNUMBER(I266),IF(I266&lt;=60,"OK","VIOLADO"),"Sem contacto"))</f>
        <v/>
      </c>
      <c r="K266" s="13"/>
      <c r="L266" s="13"/>
    </row>
    <row r="267" customFormat="false" ht="15" hidden="false" customHeight="false" outlineLevel="0" collapsed="false">
      <c r="A267" s="12"/>
      <c r="B267" s="12"/>
      <c r="C267" s="12"/>
      <c r="D267" s="12"/>
      <c r="E267" s="23"/>
      <c r="F267" s="13"/>
      <c r="G267" s="23"/>
      <c r="H267" s="13"/>
      <c r="I267" s="15" t="str">
        <f aca="false">IF(AND(ISNUMBER(E267),ISNUMBER(G267)),(G267-E267)*1440,"")</f>
        <v/>
      </c>
      <c r="J267" s="13" t="str">
        <f aca="false">IF(E267="","",IF(ISNUMBER(I267),IF(I267&lt;=60,"OK","VIOLADO"),"Sem contacto"))</f>
        <v/>
      </c>
      <c r="K267" s="13"/>
      <c r="L267" s="13"/>
    </row>
    <row r="268" customFormat="false" ht="15" hidden="false" customHeight="false" outlineLevel="0" collapsed="false">
      <c r="A268" s="12"/>
      <c r="B268" s="12"/>
      <c r="C268" s="12"/>
      <c r="D268" s="12"/>
      <c r="E268" s="23"/>
      <c r="F268" s="13"/>
      <c r="G268" s="23"/>
      <c r="H268" s="13"/>
      <c r="I268" s="15" t="str">
        <f aca="false">IF(AND(ISNUMBER(E268),ISNUMBER(G268)),(G268-E268)*1440,"")</f>
        <v/>
      </c>
      <c r="J268" s="13" t="str">
        <f aca="false">IF(E268="","",IF(ISNUMBER(I268),IF(I268&lt;=60,"OK","VIOLADO"),"Sem contacto"))</f>
        <v/>
      </c>
      <c r="K268" s="13"/>
      <c r="L268" s="13"/>
    </row>
    <row r="269" customFormat="false" ht="15" hidden="false" customHeight="false" outlineLevel="0" collapsed="false">
      <c r="A269" s="12"/>
      <c r="B269" s="12"/>
      <c r="C269" s="12"/>
      <c r="D269" s="12"/>
      <c r="E269" s="23"/>
      <c r="F269" s="13"/>
      <c r="G269" s="23"/>
      <c r="H269" s="13"/>
      <c r="I269" s="15" t="str">
        <f aca="false">IF(AND(ISNUMBER(E269),ISNUMBER(G269)),(G269-E269)*1440,"")</f>
        <v/>
      </c>
      <c r="J269" s="13" t="str">
        <f aca="false">IF(E269="","",IF(ISNUMBER(I269),IF(I269&lt;=60,"OK","VIOLADO"),"Sem contacto"))</f>
        <v/>
      </c>
      <c r="K269" s="13"/>
      <c r="L269" s="13"/>
    </row>
    <row r="270" customFormat="false" ht="15" hidden="false" customHeight="false" outlineLevel="0" collapsed="false">
      <c r="A270" s="12"/>
      <c r="B270" s="12"/>
      <c r="C270" s="12"/>
      <c r="D270" s="12"/>
      <c r="E270" s="23"/>
      <c r="F270" s="13"/>
      <c r="G270" s="23"/>
      <c r="H270" s="13"/>
      <c r="I270" s="15" t="str">
        <f aca="false">IF(AND(ISNUMBER(E270),ISNUMBER(G270)),(G270-E270)*1440,"")</f>
        <v/>
      </c>
      <c r="J270" s="13" t="str">
        <f aca="false">IF(E270="","",IF(ISNUMBER(I270),IF(I270&lt;=60,"OK","VIOLADO"),"Sem contacto"))</f>
        <v/>
      </c>
      <c r="K270" s="13"/>
      <c r="L270" s="13"/>
    </row>
    <row r="271" customFormat="false" ht="15" hidden="false" customHeight="false" outlineLevel="0" collapsed="false">
      <c r="A271" s="12"/>
      <c r="B271" s="12"/>
      <c r="C271" s="12"/>
      <c r="D271" s="12"/>
      <c r="E271" s="23"/>
      <c r="F271" s="13"/>
      <c r="G271" s="23"/>
      <c r="H271" s="13"/>
      <c r="I271" s="15" t="str">
        <f aca="false">IF(AND(ISNUMBER(E271),ISNUMBER(G271)),(G271-E271)*1440,"")</f>
        <v/>
      </c>
      <c r="J271" s="13" t="str">
        <f aca="false">IF(E271="","",IF(ISNUMBER(I271),IF(I271&lt;=60,"OK","VIOLADO"),"Sem contacto"))</f>
        <v/>
      </c>
      <c r="K271" s="13"/>
      <c r="L271" s="13"/>
    </row>
    <row r="272" customFormat="false" ht="15" hidden="false" customHeight="false" outlineLevel="0" collapsed="false">
      <c r="A272" s="12"/>
      <c r="B272" s="12"/>
      <c r="C272" s="12"/>
      <c r="D272" s="12"/>
      <c r="E272" s="23"/>
      <c r="F272" s="13"/>
      <c r="G272" s="23"/>
      <c r="H272" s="13"/>
      <c r="I272" s="15" t="str">
        <f aca="false">IF(AND(ISNUMBER(E272),ISNUMBER(G272)),(G272-E272)*1440,"")</f>
        <v/>
      </c>
      <c r="J272" s="13" t="str">
        <f aca="false">IF(E272="","",IF(ISNUMBER(I272),IF(I272&lt;=60,"OK","VIOLADO"),"Sem contacto"))</f>
        <v/>
      </c>
      <c r="K272" s="13"/>
      <c r="L272" s="13"/>
    </row>
    <row r="273" customFormat="false" ht="15" hidden="false" customHeight="false" outlineLevel="0" collapsed="false">
      <c r="A273" s="12"/>
      <c r="B273" s="12"/>
      <c r="C273" s="12"/>
      <c r="D273" s="12"/>
      <c r="E273" s="23"/>
      <c r="F273" s="13"/>
      <c r="G273" s="23"/>
      <c r="H273" s="13"/>
      <c r="I273" s="15" t="str">
        <f aca="false">IF(AND(ISNUMBER(E273),ISNUMBER(G273)),(G273-E273)*1440,"")</f>
        <v/>
      </c>
      <c r="J273" s="13" t="str">
        <f aca="false">IF(E273="","",IF(ISNUMBER(I273),IF(I273&lt;=60,"OK","VIOLADO"),"Sem contacto"))</f>
        <v/>
      </c>
      <c r="K273" s="13"/>
      <c r="L273" s="13"/>
    </row>
    <row r="274" customFormat="false" ht="15" hidden="false" customHeight="false" outlineLevel="0" collapsed="false">
      <c r="A274" s="12"/>
      <c r="B274" s="12"/>
      <c r="C274" s="12"/>
      <c r="D274" s="12"/>
      <c r="E274" s="23"/>
      <c r="F274" s="13"/>
      <c r="G274" s="23"/>
      <c r="H274" s="13"/>
      <c r="I274" s="15" t="str">
        <f aca="false">IF(AND(ISNUMBER(E274),ISNUMBER(G274)),(G274-E274)*1440,"")</f>
        <v/>
      </c>
      <c r="J274" s="13" t="str">
        <f aca="false">IF(E274="","",IF(ISNUMBER(I274),IF(I274&lt;=60,"OK","VIOLADO"),"Sem contacto"))</f>
        <v/>
      </c>
      <c r="K274" s="13"/>
      <c r="L274" s="13"/>
    </row>
    <row r="275" customFormat="false" ht="15" hidden="false" customHeight="false" outlineLevel="0" collapsed="false">
      <c r="A275" s="12"/>
      <c r="B275" s="12"/>
      <c r="C275" s="12"/>
      <c r="D275" s="12"/>
      <c r="E275" s="23"/>
      <c r="F275" s="13"/>
      <c r="G275" s="23"/>
      <c r="H275" s="13"/>
      <c r="I275" s="15" t="str">
        <f aca="false">IF(AND(ISNUMBER(E275),ISNUMBER(G275)),(G275-E275)*1440,"")</f>
        <v/>
      </c>
      <c r="J275" s="13" t="str">
        <f aca="false">IF(E275="","",IF(ISNUMBER(I275),IF(I275&lt;=60,"OK","VIOLADO"),"Sem contacto"))</f>
        <v/>
      </c>
      <c r="K275" s="13"/>
      <c r="L275" s="13"/>
    </row>
    <row r="276" customFormat="false" ht="15" hidden="false" customHeight="false" outlineLevel="0" collapsed="false">
      <c r="A276" s="12"/>
      <c r="B276" s="12"/>
      <c r="C276" s="12"/>
      <c r="D276" s="12"/>
      <c r="E276" s="23"/>
      <c r="F276" s="13"/>
      <c r="G276" s="23"/>
      <c r="H276" s="13"/>
      <c r="I276" s="15" t="str">
        <f aca="false">IF(AND(ISNUMBER(E276),ISNUMBER(G276)),(G276-E276)*1440,"")</f>
        <v/>
      </c>
      <c r="J276" s="13" t="str">
        <f aca="false">IF(E276="","",IF(ISNUMBER(I276),IF(I276&lt;=60,"OK","VIOLADO"),"Sem contacto"))</f>
        <v/>
      </c>
      <c r="K276" s="13"/>
      <c r="L276" s="13"/>
    </row>
    <row r="277" customFormat="false" ht="15" hidden="false" customHeight="false" outlineLevel="0" collapsed="false">
      <c r="A277" s="12"/>
      <c r="B277" s="12"/>
      <c r="C277" s="12"/>
      <c r="D277" s="12"/>
      <c r="E277" s="23"/>
      <c r="F277" s="13"/>
      <c r="G277" s="23"/>
      <c r="H277" s="13"/>
      <c r="I277" s="15" t="str">
        <f aca="false">IF(AND(ISNUMBER(E277),ISNUMBER(G277)),(G277-E277)*1440,"")</f>
        <v/>
      </c>
      <c r="J277" s="13" t="str">
        <f aca="false">IF(E277="","",IF(ISNUMBER(I277),IF(I277&lt;=60,"OK","VIOLADO"),"Sem contacto"))</f>
        <v/>
      </c>
      <c r="K277" s="13"/>
      <c r="L277" s="13"/>
    </row>
    <row r="278" customFormat="false" ht="15" hidden="false" customHeight="false" outlineLevel="0" collapsed="false">
      <c r="A278" s="12"/>
      <c r="B278" s="12"/>
      <c r="C278" s="12"/>
      <c r="D278" s="12"/>
      <c r="E278" s="23"/>
      <c r="F278" s="13"/>
      <c r="G278" s="23"/>
      <c r="H278" s="13"/>
      <c r="I278" s="15" t="str">
        <f aca="false">IF(AND(ISNUMBER(E278),ISNUMBER(G278)),(G278-E278)*1440,"")</f>
        <v/>
      </c>
      <c r="J278" s="13" t="str">
        <f aca="false">IF(E278="","",IF(ISNUMBER(I278),IF(I278&lt;=60,"OK","VIOLADO"),"Sem contacto"))</f>
        <v/>
      </c>
      <c r="K278" s="13"/>
      <c r="L278" s="13"/>
    </row>
    <row r="279" customFormat="false" ht="15" hidden="false" customHeight="false" outlineLevel="0" collapsed="false">
      <c r="A279" s="12"/>
      <c r="B279" s="12"/>
      <c r="C279" s="12"/>
      <c r="D279" s="12"/>
      <c r="E279" s="23"/>
      <c r="F279" s="13"/>
      <c r="G279" s="23"/>
      <c r="H279" s="13"/>
      <c r="I279" s="15" t="str">
        <f aca="false">IF(AND(ISNUMBER(E279),ISNUMBER(G279)),(G279-E279)*1440,"")</f>
        <v/>
      </c>
      <c r="J279" s="13" t="str">
        <f aca="false">IF(E279="","",IF(ISNUMBER(I279),IF(I279&lt;=60,"OK","VIOLADO"),"Sem contacto"))</f>
        <v/>
      </c>
      <c r="K279" s="13"/>
      <c r="L279" s="13"/>
    </row>
    <row r="280" customFormat="false" ht="15" hidden="false" customHeight="false" outlineLevel="0" collapsed="false">
      <c r="A280" s="12"/>
      <c r="B280" s="12"/>
      <c r="C280" s="12"/>
      <c r="D280" s="12"/>
      <c r="E280" s="23"/>
      <c r="F280" s="13"/>
      <c r="G280" s="23"/>
      <c r="H280" s="13"/>
      <c r="I280" s="15" t="str">
        <f aca="false">IF(AND(ISNUMBER(E280),ISNUMBER(G280)),(G280-E280)*1440,"")</f>
        <v/>
      </c>
      <c r="J280" s="13" t="str">
        <f aca="false">IF(E280="","",IF(ISNUMBER(I280),IF(I280&lt;=60,"OK","VIOLADO"),"Sem contacto"))</f>
        <v/>
      </c>
      <c r="K280" s="13"/>
      <c r="L280" s="13"/>
    </row>
    <row r="281" customFormat="false" ht="15" hidden="false" customHeight="false" outlineLevel="0" collapsed="false">
      <c r="A281" s="12"/>
      <c r="B281" s="12"/>
      <c r="C281" s="12"/>
      <c r="D281" s="12"/>
      <c r="E281" s="23"/>
      <c r="F281" s="13"/>
      <c r="G281" s="23"/>
      <c r="H281" s="13"/>
      <c r="I281" s="15" t="str">
        <f aca="false">IF(AND(ISNUMBER(E281),ISNUMBER(G281)),(G281-E281)*1440,"")</f>
        <v/>
      </c>
      <c r="J281" s="13" t="str">
        <f aca="false">IF(E281="","",IF(ISNUMBER(I281),IF(I281&lt;=60,"OK","VIOLADO"),"Sem contacto"))</f>
        <v/>
      </c>
      <c r="K281" s="13"/>
      <c r="L281" s="13"/>
    </row>
    <row r="282" customFormat="false" ht="15" hidden="false" customHeight="false" outlineLevel="0" collapsed="false">
      <c r="A282" s="12"/>
      <c r="B282" s="12"/>
      <c r="C282" s="12"/>
      <c r="D282" s="12"/>
      <c r="E282" s="23"/>
      <c r="F282" s="13"/>
      <c r="G282" s="23"/>
      <c r="H282" s="13"/>
      <c r="I282" s="15" t="str">
        <f aca="false">IF(AND(ISNUMBER(E282),ISNUMBER(G282)),(G282-E282)*1440,"")</f>
        <v/>
      </c>
      <c r="J282" s="13" t="str">
        <f aca="false">IF(E282="","",IF(ISNUMBER(I282),IF(I282&lt;=60,"OK","VIOLADO"),"Sem contacto"))</f>
        <v/>
      </c>
      <c r="K282" s="13"/>
      <c r="L282" s="13"/>
    </row>
    <row r="283" customFormat="false" ht="15" hidden="false" customHeight="false" outlineLevel="0" collapsed="false">
      <c r="A283" s="12"/>
      <c r="B283" s="12"/>
      <c r="C283" s="12"/>
      <c r="D283" s="12"/>
      <c r="E283" s="23"/>
      <c r="F283" s="13"/>
      <c r="G283" s="23"/>
      <c r="H283" s="13"/>
      <c r="I283" s="15" t="str">
        <f aca="false">IF(AND(ISNUMBER(E283),ISNUMBER(G283)),(G283-E283)*1440,"")</f>
        <v/>
      </c>
      <c r="J283" s="13" t="str">
        <f aca="false">IF(E283="","",IF(ISNUMBER(I283),IF(I283&lt;=60,"OK","VIOLADO"),"Sem contacto"))</f>
        <v/>
      </c>
      <c r="K283" s="13"/>
      <c r="L283" s="13"/>
    </row>
    <row r="284" customFormat="false" ht="15" hidden="false" customHeight="false" outlineLevel="0" collapsed="false">
      <c r="A284" s="12"/>
      <c r="B284" s="12"/>
      <c r="C284" s="12"/>
      <c r="D284" s="12"/>
      <c r="E284" s="23"/>
      <c r="F284" s="13"/>
      <c r="G284" s="23"/>
      <c r="H284" s="13"/>
      <c r="I284" s="15" t="str">
        <f aca="false">IF(AND(ISNUMBER(E284),ISNUMBER(G284)),(G284-E284)*1440,"")</f>
        <v/>
      </c>
      <c r="J284" s="13" t="str">
        <f aca="false">IF(E284="","",IF(ISNUMBER(I284),IF(I284&lt;=60,"OK","VIOLADO"),"Sem contacto"))</f>
        <v/>
      </c>
      <c r="K284" s="13"/>
      <c r="L284" s="13"/>
    </row>
    <row r="285" customFormat="false" ht="15" hidden="false" customHeight="false" outlineLevel="0" collapsed="false">
      <c r="A285" s="12"/>
      <c r="B285" s="12"/>
      <c r="C285" s="12"/>
      <c r="D285" s="12"/>
      <c r="E285" s="23"/>
      <c r="F285" s="13"/>
      <c r="G285" s="23"/>
      <c r="H285" s="13"/>
      <c r="I285" s="15" t="str">
        <f aca="false">IF(AND(ISNUMBER(E285),ISNUMBER(G285)),(G285-E285)*1440,"")</f>
        <v/>
      </c>
      <c r="J285" s="13" t="str">
        <f aca="false">IF(E285="","",IF(ISNUMBER(I285),IF(I285&lt;=60,"OK","VIOLADO"),"Sem contacto"))</f>
        <v/>
      </c>
      <c r="K285" s="13"/>
      <c r="L285" s="13"/>
    </row>
    <row r="286" customFormat="false" ht="15" hidden="false" customHeight="false" outlineLevel="0" collapsed="false">
      <c r="A286" s="12"/>
      <c r="B286" s="12"/>
      <c r="C286" s="12"/>
      <c r="D286" s="12"/>
      <c r="E286" s="23"/>
      <c r="F286" s="13"/>
      <c r="G286" s="23"/>
      <c r="H286" s="13"/>
      <c r="I286" s="15" t="str">
        <f aca="false">IF(AND(ISNUMBER(E286),ISNUMBER(G286)),(G286-E286)*1440,"")</f>
        <v/>
      </c>
      <c r="J286" s="13" t="str">
        <f aca="false">IF(E286="","",IF(ISNUMBER(I286),IF(I286&lt;=60,"OK","VIOLADO"),"Sem contacto"))</f>
        <v/>
      </c>
      <c r="K286" s="13"/>
      <c r="L286" s="13"/>
    </row>
    <row r="287" customFormat="false" ht="15" hidden="false" customHeight="false" outlineLevel="0" collapsed="false">
      <c r="A287" s="12"/>
      <c r="B287" s="12"/>
      <c r="C287" s="12"/>
      <c r="D287" s="12"/>
      <c r="E287" s="23"/>
      <c r="F287" s="13"/>
      <c r="G287" s="23"/>
      <c r="H287" s="13"/>
      <c r="I287" s="15" t="str">
        <f aca="false">IF(AND(ISNUMBER(E287),ISNUMBER(G287)),(G287-E287)*1440,"")</f>
        <v/>
      </c>
      <c r="J287" s="13" t="str">
        <f aca="false">IF(E287="","",IF(ISNUMBER(I287),IF(I287&lt;=60,"OK","VIOLADO"),"Sem contacto"))</f>
        <v/>
      </c>
      <c r="K287" s="13"/>
      <c r="L287" s="13"/>
    </row>
    <row r="288" customFormat="false" ht="15" hidden="false" customHeight="false" outlineLevel="0" collapsed="false">
      <c r="A288" s="12"/>
      <c r="B288" s="12"/>
      <c r="C288" s="12"/>
      <c r="D288" s="12"/>
      <c r="E288" s="23"/>
      <c r="F288" s="13"/>
      <c r="G288" s="23"/>
      <c r="H288" s="13"/>
      <c r="I288" s="15" t="str">
        <f aca="false">IF(AND(ISNUMBER(E288),ISNUMBER(G288)),(G288-E288)*1440,"")</f>
        <v/>
      </c>
      <c r="J288" s="13" t="str">
        <f aca="false">IF(E288="","",IF(ISNUMBER(I288),IF(I288&lt;=60,"OK","VIOLADO"),"Sem contacto"))</f>
        <v/>
      </c>
      <c r="K288" s="13"/>
      <c r="L288" s="13"/>
    </row>
    <row r="289" customFormat="false" ht="15" hidden="false" customHeight="false" outlineLevel="0" collapsed="false">
      <c r="A289" s="12"/>
      <c r="B289" s="12"/>
      <c r="C289" s="12"/>
      <c r="D289" s="12"/>
      <c r="E289" s="23"/>
      <c r="F289" s="13"/>
      <c r="G289" s="23"/>
      <c r="H289" s="13"/>
      <c r="I289" s="15" t="str">
        <f aca="false">IF(AND(ISNUMBER(E289),ISNUMBER(G289)),(G289-E289)*1440,"")</f>
        <v/>
      </c>
      <c r="J289" s="13" t="str">
        <f aca="false">IF(E289="","",IF(ISNUMBER(I289),IF(I289&lt;=60,"OK","VIOLADO"),"Sem contacto"))</f>
        <v/>
      </c>
      <c r="K289" s="13"/>
      <c r="L289" s="13"/>
    </row>
    <row r="290" customFormat="false" ht="15" hidden="false" customHeight="false" outlineLevel="0" collapsed="false">
      <c r="A290" s="12"/>
      <c r="B290" s="12"/>
      <c r="C290" s="12"/>
      <c r="D290" s="12"/>
      <c r="E290" s="23"/>
      <c r="F290" s="13"/>
      <c r="G290" s="23"/>
      <c r="H290" s="13"/>
      <c r="I290" s="15" t="str">
        <f aca="false">IF(AND(ISNUMBER(E290),ISNUMBER(G290)),(G290-E290)*1440,"")</f>
        <v/>
      </c>
      <c r="J290" s="13" t="str">
        <f aca="false">IF(E290="","",IF(ISNUMBER(I290),IF(I290&lt;=60,"OK","VIOLADO"),"Sem contacto"))</f>
        <v/>
      </c>
      <c r="K290" s="13"/>
      <c r="L290" s="13"/>
    </row>
    <row r="291" customFormat="false" ht="15" hidden="false" customHeight="false" outlineLevel="0" collapsed="false">
      <c r="A291" s="12"/>
      <c r="B291" s="12"/>
      <c r="C291" s="12"/>
      <c r="D291" s="12"/>
      <c r="E291" s="23"/>
      <c r="F291" s="13"/>
      <c r="G291" s="23"/>
      <c r="H291" s="13"/>
      <c r="I291" s="15" t="str">
        <f aca="false">IF(AND(ISNUMBER(E291),ISNUMBER(G291)),(G291-E291)*1440,"")</f>
        <v/>
      </c>
      <c r="J291" s="13" t="str">
        <f aca="false">IF(E291="","",IF(ISNUMBER(I291),IF(I291&lt;=60,"OK","VIOLADO"),"Sem contacto"))</f>
        <v/>
      </c>
      <c r="K291" s="13"/>
      <c r="L291" s="13"/>
    </row>
    <row r="292" customFormat="false" ht="15" hidden="false" customHeight="false" outlineLevel="0" collapsed="false">
      <c r="A292" s="12"/>
      <c r="B292" s="12"/>
      <c r="C292" s="12"/>
      <c r="D292" s="12"/>
      <c r="E292" s="23"/>
      <c r="F292" s="13"/>
      <c r="G292" s="23"/>
      <c r="H292" s="13"/>
      <c r="I292" s="15" t="str">
        <f aca="false">IF(AND(ISNUMBER(E292),ISNUMBER(G292)),(G292-E292)*1440,"")</f>
        <v/>
      </c>
      <c r="J292" s="13" t="str">
        <f aca="false">IF(E292="","",IF(ISNUMBER(I292),IF(I292&lt;=60,"OK","VIOLADO"),"Sem contacto"))</f>
        <v/>
      </c>
      <c r="K292" s="13"/>
      <c r="L292" s="13"/>
    </row>
    <row r="293" customFormat="false" ht="15" hidden="false" customHeight="false" outlineLevel="0" collapsed="false">
      <c r="A293" s="12"/>
      <c r="B293" s="12"/>
      <c r="C293" s="12"/>
      <c r="D293" s="12"/>
      <c r="E293" s="23"/>
      <c r="F293" s="13"/>
      <c r="G293" s="23"/>
      <c r="H293" s="13"/>
      <c r="I293" s="15" t="str">
        <f aca="false">IF(AND(ISNUMBER(E293),ISNUMBER(G293)),(G293-E293)*1440,"")</f>
        <v/>
      </c>
      <c r="J293" s="13" t="str">
        <f aca="false">IF(E293="","",IF(ISNUMBER(I293),IF(I293&lt;=60,"OK","VIOLADO"),"Sem contacto"))</f>
        <v/>
      </c>
      <c r="K293" s="13"/>
      <c r="L293" s="13"/>
    </row>
    <row r="294" customFormat="false" ht="15" hidden="false" customHeight="false" outlineLevel="0" collapsed="false">
      <c r="A294" s="12"/>
      <c r="B294" s="12"/>
      <c r="C294" s="12"/>
      <c r="D294" s="12"/>
      <c r="E294" s="23"/>
      <c r="F294" s="13"/>
      <c r="G294" s="23"/>
      <c r="H294" s="13"/>
      <c r="I294" s="15" t="str">
        <f aca="false">IF(AND(ISNUMBER(E294),ISNUMBER(G294)),(G294-E294)*1440,"")</f>
        <v/>
      </c>
      <c r="J294" s="13" t="str">
        <f aca="false">IF(E294="","",IF(ISNUMBER(I294),IF(I294&lt;=60,"OK","VIOLADO"),"Sem contacto"))</f>
        <v/>
      </c>
      <c r="K294" s="13"/>
      <c r="L294" s="13"/>
    </row>
    <row r="295" customFormat="false" ht="15" hidden="false" customHeight="false" outlineLevel="0" collapsed="false">
      <c r="A295" s="12"/>
      <c r="B295" s="12"/>
      <c r="C295" s="12"/>
      <c r="D295" s="12"/>
      <c r="E295" s="23"/>
      <c r="F295" s="13"/>
      <c r="G295" s="23"/>
      <c r="H295" s="13"/>
      <c r="I295" s="15" t="str">
        <f aca="false">IF(AND(ISNUMBER(E295),ISNUMBER(G295)),(G295-E295)*1440,"")</f>
        <v/>
      </c>
      <c r="J295" s="13" t="str">
        <f aca="false">IF(E295="","",IF(ISNUMBER(I295),IF(I295&lt;=60,"OK","VIOLADO"),"Sem contacto"))</f>
        <v/>
      </c>
      <c r="K295" s="13"/>
      <c r="L295" s="13"/>
    </row>
    <row r="296" customFormat="false" ht="15" hidden="false" customHeight="false" outlineLevel="0" collapsed="false">
      <c r="A296" s="12"/>
      <c r="B296" s="12"/>
      <c r="C296" s="12"/>
      <c r="D296" s="12"/>
      <c r="E296" s="23"/>
      <c r="F296" s="13"/>
      <c r="G296" s="23"/>
      <c r="H296" s="13"/>
      <c r="I296" s="15" t="str">
        <f aca="false">IF(AND(ISNUMBER(E296),ISNUMBER(G296)),(G296-E296)*1440,"")</f>
        <v/>
      </c>
      <c r="J296" s="13" t="str">
        <f aca="false">IF(E296="","",IF(ISNUMBER(I296),IF(I296&lt;=60,"OK","VIOLADO"),"Sem contacto"))</f>
        <v/>
      </c>
      <c r="K296" s="13"/>
      <c r="L296" s="13"/>
    </row>
    <row r="297" customFormat="false" ht="15" hidden="false" customHeight="false" outlineLevel="0" collapsed="false">
      <c r="A297" s="12"/>
      <c r="B297" s="12"/>
      <c r="C297" s="12"/>
      <c r="D297" s="12"/>
      <c r="E297" s="23"/>
      <c r="F297" s="13"/>
      <c r="G297" s="23"/>
      <c r="H297" s="13"/>
      <c r="I297" s="15" t="str">
        <f aca="false">IF(AND(ISNUMBER(E297),ISNUMBER(G297)),(G297-E297)*1440,"")</f>
        <v/>
      </c>
      <c r="J297" s="13" t="str">
        <f aca="false">IF(E297="","",IF(ISNUMBER(I297),IF(I297&lt;=60,"OK","VIOLADO"),"Sem contacto"))</f>
        <v/>
      </c>
      <c r="K297" s="13"/>
      <c r="L297" s="13"/>
    </row>
    <row r="298" customFormat="false" ht="15" hidden="false" customHeight="false" outlineLevel="0" collapsed="false">
      <c r="A298" s="12"/>
      <c r="B298" s="12"/>
      <c r="C298" s="12"/>
      <c r="D298" s="12"/>
      <c r="E298" s="23"/>
      <c r="F298" s="13"/>
      <c r="G298" s="23"/>
      <c r="H298" s="13"/>
      <c r="I298" s="15" t="str">
        <f aca="false">IF(AND(ISNUMBER(E298),ISNUMBER(G298)),(G298-E298)*1440,"")</f>
        <v/>
      </c>
      <c r="J298" s="13" t="str">
        <f aca="false">IF(E298="","",IF(ISNUMBER(I298),IF(I298&lt;=60,"OK","VIOLADO"),"Sem contacto"))</f>
        <v/>
      </c>
      <c r="K298" s="13"/>
      <c r="L298" s="13"/>
    </row>
    <row r="299" customFormat="false" ht="15" hidden="false" customHeight="false" outlineLevel="0" collapsed="false">
      <c r="A299" s="12"/>
      <c r="B299" s="12"/>
      <c r="C299" s="12"/>
      <c r="D299" s="12"/>
      <c r="E299" s="23"/>
      <c r="F299" s="13"/>
      <c r="G299" s="23"/>
      <c r="H299" s="13"/>
      <c r="I299" s="15" t="str">
        <f aca="false">IF(AND(ISNUMBER(E299),ISNUMBER(G299)),(G299-E299)*1440,"")</f>
        <v/>
      </c>
      <c r="J299" s="13" t="str">
        <f aca="false">IF(E299="","",IF(ISNUMBER(I299),IF(I299&lt;=60,"OK","VIOLADO"),"Sem contacto"))</f>
        <v/>
      </c>
      <c r="K299" s="13"/>
      <c r="L299" s="13"/>
    </row>
    <row r="300" customFormat="false" ht="15" hidden="false" customHeight="false" outlineLevel="0" collapsed="false">
      <c r="A300" s="12"/>
      <c r="B300" s="12"/>
      <c r="C300" s="12"/>
      <c r="D300" s="12"/>
      <c r="E300" s="23"/>
      <c r="F300" s="13"/>
      <c r="G300" s="23"/>
      <c r="H300" s="13"/>
      <c r="I300" s="15" t="str">
        <f aca="false">IF(AND(ISNUMBER(E300),ISNUMBER(G300)),(G300-E300)*1440,"")</f>
        <v/>
      </c>
      <c r="J300" s="13" t="str">
        <f aca="false">IF(E300="","",IF(ISNUMBER(I300),IF(I300&lt;=60,"OK","VIOLADO"),"Sem contacto"))</f>
        <v/>
      </c>
      <c r="K300" s="13"/>
      <c r="L300" s="13"/>
    </row>
    <row r="301" customFormat="false" ht="15" hidden="false" customHeight="false" outlineLevel="0" collapsed="false">
      <c r="A301" s="12"/>
      <c r="B301" s="12"/>
      <c r="C301" s="12"/>
      <c r="D301" s="12"/>
      <c r="E301" s="23"/>
      <c r="F301" s="13"/>
      <c r="G301" s="23"/>
      <c r="H301" s="13"/>
      <c r="I301" s="15" t="str">
        <f aca="false">IF(AND(ISNUMBER(E301),ISNUMBER(G301)),(G301-E301)*1440,"")</f>
        <v/>
      </c>
      <c r="J301" s="13" t="str">
        <f aca="false">IF(E301="","",IF(ISNUMBER(I301),IF(I301&lt;=60,"OK","VIOLADO"),"Sem contacto"))</f>
        <v/>
      </c>
      <c r="K301" s="13"/>
      <c r="L301" s="13"/>
    </row>
    <row r="302" customFormat="false" ht="15" hidden="false" customHeight="false" outlineLevel="0" collapsed="false">
      <c r="A302" s="12"/>
      <c r="B302" s="12"/>
      <c r="C302" s="12"/>
      <c r="D302" s="12"/>
      <c r="E302" s="23"/>
      <c r="F302" s="13"/>
      <c r="G302" s="23"/>
      <c r="H302" s="13"/>
      <c r="I302" s="15" t="str">
        <f aca="false">IF(AND(ISNUMBER(E302),ISNUMBER(G302)),(G302-E302)*1440,"")</f>
        <v/>
      </c>
      <c r="J302" s="13" t="str">
        <f aca="false">IF(E302="","",IF(ISNUMBER(I302),IF(I302&lt;=60,"OK","VIOLADO"),"Sem contacto"))</f>
        <v/>
      </c>
      <c r="K302" s="13"/>
      <c r="L302" s="13"/>
    </row>
    <row r="303" customFormat="false" ht="15" hidden="false" customHeight="false" outlineLevel="0" collapsed="false">
      <c r="A303" s="12"/>
      <c r="B303" s="12"/>
      <c r="C303" s="12"/>
      <c r="D303" s="12"/>
      <c r="E303" s="23"/>
      <c r="F303" s="13"/>
      <c r="G303" s="23"/>
      <c r="H303" s="13"/>
      <c r="I303" s="15" t="str">
        <f aca="false">IF(AND(ISNUMBER(E303),ISNUMBER(G303)),(G303-E303)*1440,"")</f>
        <v/>
      </c>
      <c r="J303" s="13" t="str">
        <f aca="false">IF(E303="","",IF(ISNUMBER(I303),IF(I303&lt;=60,"OK","VIOLADO"),"Sem contacto"))</f>
        <v/>
      </c>
      <c r="K303" s="13"/>
      <c r="L303" s="13"/>
    </row>
    <row r="304" customFormat="false" ht="15" hidden="false" customHeight="false" outlineLevel="0" collapsed="false">
      <c r="A304" s="12"/>
      <c r="B304" s="12"/>
      <c r="C304" s="12"/>
      <c r="D304" s="12"/>
      <c r="E304" s="23"/>
      <c r="F304" s="13"/>
      <c r="G304" s="23"/>
      <c r="H304" s="13"/>
      <c r="I304" s="15" t="str">
        <f aca="false">IF(AND(ISNUMBER(E304),ISNUMBER(G304)),(G304-E304)*1440,"")</f>
        <v/>
      </c>
      <c r="J304" s="13" t="str">
        <f aca="false">IF(E304="","",IF(ISNUMBER(I304),IF(I304&lt;=60,"OK","VIOLADO"),"Sem contacto"))</f>
        <v/>
      </c>
      <c r="K304" s="13"/>
      <c r="L304" s="13"/>
    </row>
    <row r="305" customFormat="false" ht="15" hidden="false" customHeight="false" outlineLevel="0" collapsed="false">
      <c r="A305" s="12"/>
      <c r="B305" s="12"/>
      <c r="C305" s="12"/>
      <c r="D305" s="12"/>
      <c r="E305" s="23"/>
      <c r="F305" s="13"/>
      <c r="G305" s="23"/>
      <c r="H305" s="13"/>
      <c r="I305" s="15" t="str">
        <f aca="false">IF(AND(ISNUMBER(E305),ISNUMBER(G305)),(G305-E305)*1440,"")</f>
        <v/>
      </c>
      <c r="J305" s="13" t="str">
        <f aca="false">IF(E305="","",IF(ISNUMBER(I305),IF(I305&lt;=60,"OK","VIOLADO"),"Sem contacto"))</f>
        <v/>
      </c>
      <c r="K305" s="13"/>
      <c r="L305" s="13"/>
    </row>
    <row r="306" customFormat="false" ht="15" hidden="false" customHeight="false" outlineLevel="0" collapsed="false">
      <c r="A306" s="12"/>
      <c r="B306" s="12"/>
      <c r="C306" s="12"/>
      <c r="D306" s="12"/>
      <c r="E306" s="23"/>
      <c r="F306" s="13"/>
      <c r="G306" s="23"/>
      <c r="H306" s="13"/>
      <c r="I306" s="15" t="str">
        <f aca="false">IF(AND(ISNUMBER(E306),ISNUMBER(G306)),(G306-E306)*1440,"")</f>
        <v/>
      </c>
      <c r="J306" s="13" t="str">
        <f aca="false">IF(E306="","",IF(ISNUMBER(I306),IF(I306&lt;=60,"OK","VIOLADO"),"Sem contacto"))</f>
        <v/>
      </c>
      <c r="K306" s="13"/>
      <c r="L306" s="13"/>
    </row>
    <row r="307" customFormat="false" ht="15" hidden="false" customHeight="false" outlineLevel="0" collapsed="false">
      <c r="A307" s="12"/>
      <c r="B307" s="12"/>
      <c r="C307" s="12"/>
      <c r="D307" s="12"/>
      <c r="E307" s="23"/>
      <c r="F307" s="13"/>
      <c r="G307" s="23"/>
      <c r="H307" s="13"/>
      <c r="I307" s="15" t="str">
        <f aca="false">IF(AND(ISNUMBER(E307),ISNUMBER(G307)),(G307-E307)*1440,"")</f>
        <v/>
      </c>
      <c r="J307" s="13" t="str">
        <f aca="false">IF(E307="","",IF(ISNUMBER(I307),IF(I307&lt;=60,"OK","VIOLADO"),"Sem contacto"))</f>
        <v/>
      </c>
      <c r="K307" s="13"/>
      <c r="L307" s="13"/>
    </row>
    <row r="308" customFormat="false" ht="15" hidden="false" customHeight="false" outlineLevel="0" collapsed="false">
      <c r="A308" s="12"/>
      <c r="B308" s="12"/>
      <c r="C308" s="12"/>
      <c r="D308" s="12"/>
      <c r="E308" s="23"/>
      <c r="F308" s="13"/>
      <c r="G308" s="23"/>
      <c r="H308" s="13"/>
      <c r="I308" s="15" t="str">
        <f aca="false">IF(AND(ISNUMBER(E308),ISNUMBER(G308)),(G308-E308)*1440,"")</f>
        <v/>
      </c>
      <c r="J308" s="13" t="str">
        <f aca="false">IF(E308="","",IF(ISNUMBER(I308),IF(I308&lt;=60,"OK","VIOLADO"),"Sem contacto"))</f>
        <v/>
      </c>
      <c r="K308" s="13"/>
      <c r="L308" s="13"/>
    </row>
    <row r="309" customFormat="false" ht="15" hidden="false" customHeight="false" outlineLevel="0" collapsed="false">
      <c r="A309" s="12"/>
      <c r="B309" s="12"/>
      <c r="C309" s="12"/>
      <c r="D309" s="12"/>
      <c r="E309" s="23"/>
      <c r="F309" s="13"/>
      <c r="G309" s="23"/>
      <c r="H309" s="13"/>
      <c r="I309" s="15" t="str">
        <f aca="false">IF(AND(ISNUMBER(E309),ISNUMBER(G309)),(G309-E309)*1440,"")</f>
        <v/>
      </c>
      <c r="J309" s="13" t="str">
        <f aca="false">IF(E309="","",IF(ISNUMBER(I309),IF(I309&lt;=60,"OK","VIOLADO"),"Sem contacto"))</f>
        <v/>
      </c>
      <c r="K309" s="13"/>
      <c r="L309" s="13"/>
    </row>
    <row r="310" customFormat="false" ht="15" hidden="false" customHeight="false" outlineLevel="0" collapsed="false">
      <c r="A310" s="12"/>
      <c r="B310" s="12"/>
      <c r="C310" s="12"/>
      <c r="D310" s="12"/>
      <c r="E310" s="23"/>
      <c r="F310" s="13"/>
      <c r="G310" s="23"/>
      <c r="H310" s="13"/>
      <c r="I310" s="15" t="str">
        <f aca="false">IF(AND(ISNUMBER(E310),ISNUMBER(G310)),(G310-E310)*1440,"")</f>
        <v/>
      </c>
      <c r="J310" s="13" t="str">
        <f aca="false">IF(E310="","",IF(ISNUMBER(I310),IF(I310&lt;=60,"OK","VIOLADO"),"Sem contacto"))</f>
        <v/>
      </c>
      <c r="K310" s="13"/>
      <c r="L310" s="13"/>
    </row>
    <row r="311" customFormat="false" ht="15" hidden="false" customHeight="false" outlineLevel="0" collapsed="false">
      <c r="A311" s="12"/>
      <c r="B311" s="12"/>
      <c r="C311" s="12"/>
      <c r="D311" s="12"/>
      <c r="E311" s="23"/>
      <c r="F311" s="13"/>
      <c r="G311" s="23"/>
      <c r="H311" s="13"/>
      <c r="I311" s="15" t="str">
        <f aca="false">IF(AND(ISNUMBER(E311),ISNUMBER(G311)),(G311-E311)*1440,"")</f>
        <v/>
      </c>
      <c r="J311" s="13" t="str">
        <f aca="false">IF(E311="","",IF(ISNUMBER(I311),IF(I311&lt;=60,"OK","VIOLADO"),"Sem contacto"))</f>
        <v/>
      </c>
      <c r="K311" s="13"/>
      <c r="L311" s="13"/>
    </row>
    <row r="312" customFormat="false" ht="15" hidden="false" customHeight="false" outlineLevel="0" collapsed="false">
      <c r="A312" s="12"/>
      <c r="B312" s="12"/>
      <c r="C312" s="12"/>
      <c r="D312" s="12"/>
      <c r="E312" s="23"/>
      <c r="F312" s="13"/>
      <c r="G312" s="23"/>
      <c r="H312" s="13"/>
      <c r="I312" s="15" t="str">
        <f aca="false">IF(AND(ISNUMBER(E312),ISNUMBER(G312)),(G312-E312)*1440,"")</f>
        <v/>
      </c>
      <c r="J312" s="13" t="str">
        <f aca="false">IF(E312="","",IF(ISNUMBER(I312),IF(I312&lt;=60,"OK","VIOLADO"),"Sem contacto"))</f>
        <v/>
      </c>
      <c r="K312" s="13"/>
      <c r="L312" s="13"/>
    </row>
    <row r="313" customFormat="false" ht="15" hidden="false" customHeight="false" outlineLevel="0" collapsed="false">
      <c r="A313" s="12"/>
      <c r="B313" s="12"/>
      <c r="C313" s="12"/>
      <c r="D313" s="12"/>
      <c r="E313" s="23"/>
      <c r="F313" s="13"/>
      <c r="G313" s="23"/>
      <c r="H313" s="13"/>
      <c r="I313" s="15" t="str">
        <f aca="false">IF(AND(ISNUMBER(E313),ISNUMBER(G313)),(G313-E313)*1440,"")</f>
        <v/>
      </c>
      <c r="J313" s="13" t="str">
        <f aca="false">IF(E313="","",IF(ISNUMBER(I313),IF(I313&lt;=60,"OK","VIOLADO"),"Sem contacto"))</f>
        <v/>
      </c>
      <c r="K313" s="13"/>
      <c r="L313" s="13"/>
    </row>
    <row r="314" customFormat="false" ht="15" hidden="false" customHeight="false" outlineLevel="0" collapsed="false">
      <c r="A314" s="12"/>
      <c r="B314" s="12"/>
      <c r="C314" s="12"/>
      <c r="D314" s="12"/>
      <c r="E314" s="23"/>
      <c r="F314" s="13"/>
      <c r="G314" s="23"/>
      <c r="H314" s="13"/>
      <c r="I314" s="15" t="str">
        <f aca="false">IF(AND(ISNUMBER(E314),ISNUMBER(G314)),(G314-E314)*1440,"")</f>
        <v/>
      </c>
      <c r="J314" s="13" t="str">
        <f aca="false">IF(E314="","",IF(ISNUMBER(I314),IF(I314&lt;=60,"OK","VIOLADO"),"Sem contacto"))</f>
        <v/>
      </c>
      <c r="K314" s="13"/>
      <c r="L314" s="13"/>
    </row>
    <row r="315" customFormat="false" ht="15" hidden="false" customHeight="false" outlineLevel="0" collapsed="false">
      <c r="A315" s="12"/>
      <c r="B315" s="12"/>
      <c r="C315" s="12"/>
      <c r="D315" s="12"/>
      <c r="E315" s="23"/>
      <c r="F315" s="13"/>
      <c r="G315" s="23"/>
      <c r="H315" s="13"/>
      <c r="I315" s="15" t="str">
        <f aca="false">IF(AND(ISNUMBER(E315),ISNUMBER(G315)),(G315-E315)*1440,"")</f>
        <v/>
      </c>
      <c r="J315" s="13" t="str">
        <f aca="false">IF(E315="","",IF(ISNUMBER(I315),IF(I315&lt;=60,"OK","VIOLADO"),"Sem contacto"))</f>
        <v/>
      </c>
      <c r="K315" s="13"/>
      <c r="L315" s="13"/>
    </row>
    <row r="316" customFormat="false" ht="15" hidden="false" customHeight="false" outlineLevel="0" collapsed="false">
      <c r="A316" s="12"/>
      <c r="B316" s="12"/>
      <c r="C316" s="12"/>
      <c r="D316" s="12"/>
      <c r="E316" s="23"/>
      <c r="F316" s="13"/>
      <c r="G316" s="23"/>
      <c r="H316" s="13"/>
      <c r="I316" s="15" t="str">
        <f aca="false">IF(AND(ISNUMBER(E316),ISNUMBER(G316)),(G316-E316)*1440,"")</f>
        <v/>
      </c>
      <c r="J316" s="13" t="str">
        <f aca="false">IF(E316="","",IF(ISNUMBER(I316),IF(I316&lt;=60,"OK","VIOLADO"),"Sem contacto"))</f>
        <v/>
      </c>
      <c r="K316" s="13"/>
      <c r="L316" s="13"/>
    </row>
    <row r="317" customFormat="false" ht="15" hidden="false" customHeight="false" outlineLevel="0" collapsed="false">
      <c r="A317" s="12"/>
      <c r="B317" s="12"/>
      <c r="C317" s="12"/>
      <c r="D317" s="12"/>
      <c r="E317" s="23"/>
      <c r="F317" s="13"/>
      <c r="G317" s="23"/>
      <c r="H317" s="13"/>
      <c r="I317" s="15" t="str">
        <f aca="false">IF(AND(ISNUMBER(E317),ISNUMBER(G317)),(G317-E317)*1440,"")</f>
        <v/>
      </c>
      <c r="J317" s="13" t="str">
        <f aca="false">IF(E317="","",IF(ISNUMBER(I317),IF(I317&lt;=60,"OK","VIOLADO"),"Sem contacto"))</f>
        <v/>
      </c>
      <c r="K317" s="13"/>
      <c r="L317" s="13"/>
    </row>
    <row r="318" customFormat="false" ht="15" hidden="false" customHeight="false" outlineLevel="0" collapsed="false">
      <c r="A318" s="12"/>
      <c r="B318" s="12"/>
      <c r="C318" s="12"/>
      <c r="D318" s="12"/>
      <c r="E318" s="23"/>
      <c r="F318" s="13"/>
      <c r="G318" s="23"/>
      <c r="H318" s="13"/>
      <c r="I318" s="15" t="str">
        <f aca="false">IF(AND(ISNUMBER(E318),ISNUMBER(G318)),(G318-E318)*1440,"")</f>
        <v/>
      </c>
      <c r="J318" s="13" t="str">
        <f aca="false">IF(E318="","",IF(ISNUMBER(I318),IF(I318&lt;=60,"OK","VIOLADO"),"Sem contacto"))</f>
        <v/>
      </c>
      <c r="K318" s="13"/>
      <c r="L318" s="13"/>
    </row>
    <row r="319" customFormat="false" ht="15" hidden="false" customHeight="false" outlineLevel="0" collapsed="false">
      <c r="A319" s="12"/>
      <c r="B319" s="12"/>
      <c r="C319" s="12"/>
      <c r="D319" s="12"/>
      <c r="E319" s="23"/>
      <c r="F319" s="13"/>
      <c r="G319" s="23"/>
      <c r="H319" s="13"/>
      <c r="I319" s="15" t="str">
        <f aca="false">IF(AND(ISNUMBER(E319),ISNUMBER(G319)),(G319-E319)*1440,"")</f>
        <v/>
      </c>
      <c r="J319" s="13" t="str">
        <f aca="false">IF(E319="","",IF(ISNUMBER(I319),IF(I319&lt;=60,"OK","VIOLADO"),"Sem contacto"))</f>
        <v/>
      </c>
      <c r="K319" s="13"/>
      <c r="L319" s="13"/>
    </row>
    <row r="320" customFormat="false" ht="15" hidden="false" customHeight="false" outlineLevel="0" collapsed="false">
      <c r="A320" s="12"/>
      <c r="B320" s="12"/>
      <c r="C320" s="12"/>
      <c r="D320" s="12"/>
      <c r="E320" s="23"/>
      <c r="F320" s="13"/>
      <c r="G320" s="23"/>
      <c r="H320" s="13"/>
      <c r="I320" s="15" t="str">
        <f aca="false">IF(AND(ISNUMBER(E320),ISNUMBER(G320)),(G320-E320)*1440,"")</f>
        <v/>
      </c>
      <c r="J320" s="13" t="str">
        <f aca="false">IF(E320="","",IF(ISNUMBER(I320),IF(I320&lt;=60,"OK","VIOLADO"),"Sem contacto"))</f>
        <v/>
      </c>
      <c r="K320" s="13"/>
      <c r="L320" s="13"/>
    </row>
    <row r="321" customFormat="false" ht="15" hidden="false" customHeight="false" outlineLevel="0" collapsed="false">
      <c r="A321" s="12"/>
      <c r="B321" s="12"/>
      <c r="C321" s="12"/>
      <c r="D321" s="12"/>
      <c r="E321" s="23"/>
      <c r="F321" s="13"/>
      <c r="G321" s="23"/>
      <c r="H321" s="13"/>
      <c r="I321" s="15" t="str">
        <f aca="false">IF(AND(ISNUMBER(E321),ISNUMBER(G321)),(G321-E321)*1440,"")</f>
        <v/>
      </c>
      <c r="J321" s="13" t="str">
        <f aca="false">IF(E321="","",IF(ISNUMBER(I321),IF(I321&lt;=60,"OK","VIOLADO"),"Sem contacto"))</f>
        <v/>
      </c>
      <c r="K321" s="13"/>
      <c r="L321" s="13"/>
    </row>
    <row r="322" customFormat="false" ht="15" hidden="false" customHeight="false" outlineLevel="0" collapsed="false">
      <c r="A322" s="12"/>
      <c r="B322" s="12"/>
      <c r="C322" s="12"/>
      <c r="D322" s="12"/>
      <c r="E322" s="23"/>
      <c r="F322" s="13"/>
      <c r="G322" s="23"/>
      <c r="H322" s="13"/>
      <c r="I322" s="15" t="str">
        <f aca="false">IF(AND(ISNUMBER(E322),ISNUMBER(G322)),(G322-E322)*1440,"")</f>
        <v/>
      </c>
      <c r="J322" s="13" t="str">
        <f aca="false">IF(E322="","",IF(ISNUMBER(I322),IF(I322&lt;=60,"OK","VIOLADO"),"Sem contacto"))</f>
        <v/>
      </c>
      <c r="K322" s="13"/>
      <c r="L322" s="13"/>
    </row>
    <row r="323" customFormat="false" ht="15" hidden="false" customHeight="false" outlineLevel="0" collapsed="false">
      <c r="A323" s="12"/>
      <c r="B323" s="12"/>
      <c r="C323" s="12"/>
      <c r="D323" s="12"/>
      <c r="E323" s="23"/>
      <c r="F323" s="13"/>
      <c r="G323" s="23"/>
      <c r="H323" s="13"/>
      <c r="I323" s="15" t="str">
        <f aca="false">IF(AND(ISNUMBER(E323),ISNUMBER(G323)),(G323-E323)*1440,"")</f>
        <v/>
      </c>
      <c r="J323" s="13" t="str">
        <f aca="false">IF(E323="","",IF(ISNUMBER(I323),IF(I323&lt;=60,"OK","VIOLADO"),"Sem contacto"))</f>
        <v/>
      </c>
      <c r="K323" s="13"/>
      <c r="L323" s="13"/>
    </row>
    <row r="324" customFormat="false" ht="15" hidden="false" customHeight="false" outlineLevel="0" collapsed="false">
      <c r="A324" s="12"/>
      <c r="B324" s="12"/>
      <c r="C324" s="12"/>
      <c r="D324" s="12"/>
      <c r="E324" s="23"/>
      <c r="F324" s="13"/>
      <c r="G324" s="23"/>
      <c r="H324" s="13"/>
      <c r="I324" s="15" t="str">
        <f aca="false">IF(AND(ISNUMBER(E324),ISNUMBER(G324)),(G324-E324)*1440,"")</f>
        <v/>
      </c>
      <c r="J324" s="13" t="str">
        <f aca="false">IF(E324="","",IF(ISNUMBER(I324),IF(I324&lt;=60,"OK","VIOLADO"),"Sem contacto"))</f>
        <v/>
      </c>
      <c r="K324" s="13"/>
      <c r="L324" s="13"/>
    </row>
    <row r="325" customFormat="false" ht="15" hidden="false" customHeight="false" outlineLevel="0" collapsed="false">
      <c r="A325" s="12"/>
      <c r="B325" s="12"/>
      <c r="C325" s="12"/>
      <c r="D325" s="12"/>
      <c r="E325" s="23"/>
      <c r="F325" s="13"/>
      <c r="G325" s="23"/>
      <c r="H325" s="13"/>
      <c r="I325" s="15" t="str">
        <f aca="false">IF(AND(ISNUMBER(E325),ISNUMBER(G325)),(G325-E325)*1440,"")</f>
        <v/>
      </c>
      <c r="J325" s="13" t="str">
        <f aca="false">IF(E325="","",IF(ISNUMBER(I325),IF(I325&lt;=60,"OK","VIOLADO"),"Sem contacto"))</f>
        <v/>
      </c>
      <c r="K325" s="13"/>
      <c r="L325" s="13"/>
    </row>
    <row r="326" customFormat="false" ht="15" hidden="false" customHeight="false" outlineLevel="0" collapsed="false">
      <c r="A326" s="12"/>
      <c r="B326" s="12"/>
      <c r="C326" s="12"/>
      <c r="D326" s="12"/>
      <c r="E326" s="23"/>
      <c r="F326" s="13"/>
      <c r="G326" s="23"/>
      <c r="H326" s="13"/>
      <c r="I326" s="15" t="str">
        <f aca="false">IF(AND(ISNUMBER(E326),ISNUMBER(G326)),(G326-E326)*1440,"")</f>
        <v/>
      </c>
      <c r="J326" s="13" t="str">
        <f aca="false">IF(E326="","",IF(ISNUMBER(I326),IF(I326&lt;=60,"OK","VIOLADO"),"Sem contacto"))</f>
        <v/>
      </c>
      <c r="K326" s="13"/>
      <c r="L326" s="13"/>
    </row>
    <row r="327" customFormat="false" ht="15" hidden="false" customHeight="false" outlineLevel="0" collapsed="false">
      <c r="A327" s="12"/>
      <c r="B327" s="12"/>
      <c r="C327" s="12"/>
      <c r="D327" s="12"/>
      <c r="E327" s="23"/>
      <c r="F327" s="13"/>
      <c r="G327" s="23"/>
      <c r="H327" s="13"/>
      <c r="I327" s="15" t="str">
        <f aca="false">IF(AND(ISNUMBER(E327),ISNUMBER(G327)),(G327-E327)*1440,"")</f>
        <v/>
      </c>
      <c r="J327" s="13" t="str">
        <f aca="false">IF(E327="","",IF(ISNUMBER(I327),IF(I327&lt;=60,"OK","VIOLADO"),"Sem contacto"))</f>
        <v/>
      </c>
      <c r="K327" s="13"/>
      <c r="L327" s="13"/>
    </row>
    <row r="328" customFormat="false" ht="15" hidden="false" customHeight="false" outlineLevel="0" collapsed="false">
      <c r="A328" s="12"/>
      <c r="B328" s="12"/>
      <c r="C328" s="12"/>
      <c r="D328" s="12"/>
      <c r="E328" s="23"/>
      <c r="F328" s="13"/>
      <c r="G328" s="23"/>
      <c r="H328" s="13"/>
      <c r="I328" s="15" t="str">
        <f aca="false">IF(AND(ISNUMBER(E328),ISNUMBER(G328)),(G328-E328)*1440,"")</f>
        <v/>
      </c>
      <c r="J328" s="13" t="str">
        <f aca="false">IF(E328="","",IF(ISNUMBER(I328),IF(I328&lt;=60,"OK","VIOLADO"),"Sem contacto"))</f>
        <v/>
      </c>
      <c r="K328" s="13"/>
      <c r="L328" s="13"/>
    </row>
    <row r="329" customFormat="false" ht="15" hidden="false" customHeight="false" outlineLevel="0" collapsed="false">
      <c r="A329" s="12"/>
      <c r="B329" s="12"/>
      <c r="C329" s="12"/>
      <c r="D329" s="12"/>
      <c r="E329" s="23"/>
      <c r="F329" s="13"/>
      <c r="G329" s="23"/>
      <c r="H329" s="13"/>
      <c r="I329" s="15" t="str">
        <f aca="false">IF(AND(ISNUMBER(E329),ISNUMBER(G329)),(G329-E329)*1440,"")</f>
        <v/>
      </c>
      <c r="J329" s="13" t="str">
        <f aca="false">IF(E329="","",IF(ISNUMBER(I329),IF(I329&lt;=60,"OK","VIOLADO"),"Sem contacto"))</f>
        <v/>
      </c>
      <c r="K329" s="13"/>
      <c r="L329" s="13"/>
    </row>
    <row r="330" customFormat="false" ht="15" hidden="false" customHeight="false" outlineLevel="0" collapsed="false">
      <c r="A330" s="12"/>
      <c r="B330" s="12"/>
      <c r="C330" s="12"/>
      <c r="D330" s="12"/>
      <c r="E330" s="23"/>
      <c r="F330" s="13"/>
      <c r="G330" s="23"/>
      <c r="H330" s="13"/>
      <c r="I330" s="15" t="str">
        <f aca="false">IF(AND(ISNUMBER(E330),ISNUMBER(G330)),(G330-E330)*1440,"")</f>
        <v/>
      </c>
      <c r="J330" s="13" t="str">
        <f aca="false">IF(E330="","",IF(ISNUMBER(I330),IF(I330&lt;=60,"OK","VIOLADO"),"Sem contacto"))</f>
        <v/>
      </c>
      <c r="K330" s="13"/>
      <c r="L330" s="13"/>
    </row>
    <row r="331" customFormat="false" ht="15" hidden="false" customHeight="false" outlineLevel="0" collapsed="false">
      <c r="A331" s="12"/>
      <c r="B331" s="12"/>
      <c r="C331" s="12"/>
      <c r="D331" s="12"/>
      <c r="E331" s="23"/>
      <c r="F331" s="13"/>
      <c r="G331" s="23"/>
      <c r="H331" s="13"/>
      <c r="I331" s="15" t="str">
        <f aca="false">IF(AND(ISNUMBER(E331),ISNUMBER(G331)),(G331-E331)*1440,"")</f>
        <v/>
      </c>
      <c r="J331" s="13" t="str">
        <f aca="false">IF(E331="","",IF(ISNUMBER(I331),IF(I331&lt;=60,"OK","VIOLADO"),"Sem contacto"))</f>
        <v/>
      </c>
      <c r="K331" s="13"/>
      <c r="L331" s="13"/>
    </row>
    <row r="332" customFormat="false" ht="15" hidden="false" customHeight="false" outlineLevel="0" collapsed="false">
      <c r="A332" s="12"/>
      <c r="B332" s="12"/>
      <c r="C332" s="12"/>
      <c r="D332" s="12"/>
      <c r="E332" s="23"/>
      <c r="F332" s="13"/>
      <c r="G332" s="23"/>
      <c r="H332" s="13"/>
      <c r="I332" s="15" t="str">
        <f aca="false">IF(AND(ISNUMBER(E332),ISNUMBER(G332)),(G332-E332)*1440,"")</f>
        <v/>
      </c>
      <c r="J332" s="13" t="str">
        <f aca="false">IF(E332="","",IF(ISNUMBER(I332),IF(I332&lt;=60,"OK","VIOLADO"),"Sem contacto"))</f>
        <v/>
      </c>
      <c r="K332" s="13"/>
      <c r="L332" s="13"/>
    </row>
    <row r="333" customFormat="false" ht="15" hidden="false" customHeight="false" outlineLevel="0" collapsed="false">
      <c r="A333" s="12"/>
      <c r="B333" s="12"/>
      <c r="C333" s="12"/>
      <c r="D333" s="12"/>
      <c r="E333" s="23"/>
      <c r="F333" s="13"/>
      <c r="G333" s="23"/>
      <c r="H333" s="13"/>
      <c r="I333" s="15" t="str">
        <f aca="false">IF(AND(ISNUMBER(E333),ISNUMBER(G333)),(G333-E333)*1440,"")</f>
        <v/>
      </c>
      <c r="J333" s="13" t="str">
        <f aca="false">IF(E333="","",IF(ISNUMBER(I333),IF(I333&lt;=60,"OK","VIOLADO"),"Sem contacto"))</f>
        <v/>
      </c>
      <c r="K333" s="13"/>
      <c r="L333" s="13"/>
    </row>
    <row r="334" customFormat="false" ht="15" hidden="false" customHeight="false" outlineLevel="0" collapsed="false">
      <c r="A334" s="12"/>
      <c r="B334" s="12"/>
      <c r="C334" s="12"/>
      <c r="D334" s="12"/>
      <c r="E334" s="23"/>
      <c r="F334" s="13"/>
      <c r="G334" s="23"/>
      <c r="H334" s="13"/>
      <c r="I334" s="15" t="str">
        <f aca="false">IF(AND(ISNUMBER(E334),ISNUMBER(G334)),(G334-E334)*1440,"")</f>
        <v/>
      </c>
      <c r="J334" s="13" t="str">
        <f aca="false">IF(E334="","",IF(ISNUMBER(I334),IF(I334&lt;=60,"OK","VIOLADO"),"Sem contacto"))</f>
        <v/>
      </c>
      <c r="K334" s="13"/>
      <c r="L334" s="13"/>
    </row>
    <row r="335" customFormat="false" ht="15" hidden="false" customHeight="false" outlineLevel="0" collapsed="false">
      <c r="A335" s="12"/>
      <c r="B335" s="12"/>
      <c r="C335" s="12"/>
      <c r="D335" s="12"/>
      <c r="E335" s="23"/>
      <c r="F335" s="13"/>
      <c r="G335" s="23"/>
      <c r="H335" s="13"/>
      <c r="I335" s="15" t="str">
        <f aca="false">IF(AND(ISNUMBER(E335),ISNUMBER(G335)),(G335-E335)*1440,"")</f>
        <v/>
      </c>
      <c r="J335" s="13" t="str">
        <f aca="false">IF(E335="","",IF(ISNUMBER(I335),IF(I335&lt;=60,"OK","VIOLADO"),"Sem contacto"))</f>
        <v/>
      </c>
      <c r="K335" s="13"/>
      <c r="L335" s="13"/>
    </row>
    <row r="336" customFormat="false" ht="15" hidden="false" customHeight="false" outlineLevel="0" collapsed="false">
      <c r="A336" s="12"/>
      <c r="B336" s="12"/>
      <c r="C336" s="12"/>
      <c r="D336" s="12"/>
      <c r="E336" s="23"/>
      <c r="F336" s="13"/>
      <c r="G336" s="23"/>
      <c r="H336" s="13"/>
      <c r="I336" s="15" t="str">
        <f aca="false">IF(AND(ISNUMBER(E336),ISNUMBER(G336)),(G336-E336)*1440,"")</f>
        <v/>
      </c>
      <c r="J336" s="13" t="str">
        <f aca="false">IF(E336="","",IF(ISNUMBER(I336),IF(I336&lt;=60,"OK","VIOLADO"),"Sem contacto"))</f>
        <v/>
      </c>
      <c r="K336" s="13"/>
      <c r="L336" s="13"/>
    </row>
    <row r="337" customFormat="false" ht="15" hidden="false" customHeight="false" outlineLevel="0" collapsed="false">
      <c r="A337" s="12"/>
      <c r="B337" s="12"/>
      <c r="C337" s="12"/>
      <c r="D337" s="12"/>
      <c r="E337" s="23"/>
      <c r="F337" s="13"/>
      <c r="G337" s="23"/>
      <c r="H337" s="13"/>
      <c r="I337" s="15" t="str">
        <f aca="false">IF(AND(ISNUMBER(E337),ISNUMBER(G337)),(G337-E337)*1440,"")</f>
        <v/>
      </c>
      <c r="J337" s="13" t="str">
        <f aca="false">IF(E337="","",IF(ISNUMBER(I337),IF(I337&lt;=60,"OK","VIOLADO"),"Sem contacto"))</f>
        <v/>
      </c>
      <c r="K337" s="13"/>
      <c r="L337" s="13"/>
    </row>
    <row r="338" customFormat="false" ht="15" hidden="false" customHeight="false" outlineLevel="0" collapsed="false">
      <c r="A338" s="12"/>
      <c r="B338" s="12"/>
      <c r="C338" s="12"/>
      <c r="D338" s="12"/>
      <c r="E338" s="23"/>
      <c r="F338" s="13"/>
      <c r="G338" s="23"/>
      <c r="H338" s="13"/>
      <c r="I338" s="15" t="str">
        <f aca="false">IF(AND(ISNUMBER(E338),ISNUMBER(G338)),(G338-E338)*1440,"")</f>
        <v/>
      </c>
      <c r="J338" s="13" t="str">
        <f aca="false">IF(E338="","",IF(ISNUMBER(I338),IF(I338&lt;=60,"OK","VIOLADO"),"Sem contacto"))</f>
        <v/>
      </c>
      <c r="K338" s="13"/>
      <c r="L338" s="13"/>
    </row>
    <row r="339" customFormat="false" ht="15" hidden="false" customHeight="false" outlineLevel="0" collapsed="false">
      <c r="A339" s="12"/>
      <c r="B339" s="12"/>
      <c r="C339" s="12"/>
      <c r="D339" s="12"/>
      <c r="E339" s="23"/>
      <c r="F339" s="13"/>
      <c r="G339" s="23"/>
      <c r="H339" s="13"/>
      <c r="I339" s="15" t="str">
        <f aca="false">IF(AND(ISNUMBER(E339),ISNUMBER(G339)),(G339-E339)*1440,"")</f>
        <v/>
      </c>
      <c r="J339" s="13" t="str">
        <f aca="false">IF(E339="","",IF(ISNUMBER(I339),IF(I339&lt;=60,"OK","VIOLADO"),"Sem contacto"))</f>
        <v/>
      </c>
      <c r="K339" s="13"/>
      <c r="L339" s="13"/>
    </row>
    <row r="340" customFormat="false" ht="15" hidden="false" customHeight="false" outlineLevel="0" collapsed="false">
      <c r="A340" s="12"/>
      <c r="B340" s="12"/>
      <c r="C340" s="12"/>
      <c r="D340" s="12"/>
      <c r="E340" s="23"/>
      <c r="F340" s="13"/>
      <c r="G340" s="23"/>
      <c r="H340" s="13"/>
      <c r="I340" s="15" t="str">
        <f aca="false">IF(AND(ISNUMBER(E340),ISNUMBER(G340)),(G340-E340)*1440,"")</f>
        <v/>
      </c>
      <c r="J340" s="13" t="str">
        <f aca="false">IF(E340="","",IF(ISNUMBER(I340),IF(I340&lt;=60,"OK","VIOLADO"),"Sem contacto"))</f>
        <v/>
      </c>
      <c r="K340" s="13"/>
      <c r="L340" s="13"/>
    </row>
    <row r="341" customFormat="false" ht="15" hidden="false" customHeight="false" outlineLevel="0" collapsed="false">
      <c r="A341" s="12"/>
      <c r="B341" s="12"/>
      <c r="C341" s="12"/>
      <c r="D341" s="12"/>
      <c r="E341" s="23"/>
      <c r="F341" s="13"/>
      <c r="G341" s="23"/>
      <c r="H341" s="13"/>
      <c r="I341" s="15" t="str">
        <f aca="false">IF(AND(ISNUMBER(E341),ISNUMBER(G341)),(G341-E341)*1440,"")</f>
        <v/>
      </c>
      <c r="J341" s="13" t="str">
        <f aca="false">IF(E341="","",IF(ISNUMBER(I341),IF(I341&lt;=60,"OK","VIOLADO"),"Sem contacto"))</f>
        <v/>
      </c>
      <c r="K341" s="13"/>
      <c r="L341" s="13"/>
    </row>
    <row r="342" customFormat="false" ht="15" hidden="false" customHeight="false" outlineLevel="0" collapsed="false">
      <c r="A342" s="12"/>
      <c r="B342" s="12"/>
      <c r="C342" s="12"/>
      <c r="D342" s="12"/>
      <c r="E342" s="23"/>
      <c r="F342" s="13"/>
      <c r="G342" s="23"/>
      <c r="H342" s="13"/>
      <c r="I342" s="15" t="str">
        <f aca="false">IF(AND(ISNUMBER(E342),ISNUMBER(G342)),(G342-E342)*1440,"")</f>
        <v/>
      </c>
      <c r="J342" s="13" t="str">
        <f aca="false">IF(E342="","",IF(ISNUMBER(I342),IF(I342&lt;=60,"OK","VIOLADO"),"Sem contacto"))</f>
        <v/>
      </c>
      <c r="K342" s="13"/>
      <c r="L342" s="13"/>
    </row>
    <row r="343" customFormat="false" ht="15" hidden="false" customHeight="false" outlineLevel="0" collapsed="false">
      <c r="A343" s="12"/>
      <c r="B343" s="12"/>
      <c r="C343" s="12"/>
      <c r="D343" s="12"/>
      <c r="E343" s="23"/>
      <c r="F343" s="13"/>
      <c r="G343" s="23"/>
      <c r="H343" s="13"/>
      <c r="I343" s="15" t="str">
        <f aca="false">IF(AND(ISNUMBER(E343),ISNUMBER(G343)),(G343-E343)*1440,"")</f>
        <v/>
      </c>
      <c r="J343" s="13" t="str">
        <f aca="false">IF(E343="","",IF(ISNUMBER(I343),IF(I343&lt;=60,"OK","VIOLADO"),"Sem contacto"))</f>
        <v/>
      </c>
      <c r="K343" s="13"/>
      <c r="L343" s="13"/>
    </row>
    <row r="344" customFormat="false" ht="15" hidden="false" customHeight="false" outlineLevel="0" collapsed="false">
      <c r="A344" s="12"/>
      <c r="B344" s="12"/>
      <c r="C344" s="12"/>
      <c r="D344" s="12"/>
      <c r="E344" s="23"/>
      <c r="F344" s="13"/>
      <c r="G344" s="23"/>
      <c r="H344" s="13"/>
      <c r="I344" s="15" t="str">
        <f aca="false">IF(AND(ISNUMBER(E344),ISNUMBER(G344)),(G344-E344)*1440,"")</f>
        <v/>
      </c>
      <c r="J344" s="13" t="str">
        <f aca="false">IF(E344="","",IF(ISNUMBER(I344),IF(I344&lt;=60,"OK","VIOLADO"),"Sem contacto"))</f>
        <v/>
      </c>
      <c r="K344" s="13"/>
      <c r="L344" s="13"/>
    </row>
    <row r="345" customFormat="false" ht="15" hidden="false" customHeight="false" outlineLevel="0" collapsed="false">
      <c r="A345" s="12"/>
      <c r="B345" s="12"/>
      <c r="C345" s="12"/>
      <c r="D345" s="12"/>
      <c r="E345" s="23"/>
      <c r="F345" s="13"/>
      <c r="G345" s="23"/>
      <c r="H345" s="13"/>
      <c r="I345" s="15" t="str">
        <f aca="false">IF(AND(ISNUMBER(E345),ISNUMBER(G345)),(G345-E345)*1440,"")</f>
        <v/>
      </c>
      <c r="J345" s="13" t="str">
        <f aca="false">IF(E345="","",IF(ISNUMBER(I345),IF(I345&lt;=60,"OK","VIOLADO"),"Sem contacto"))</f>
        <v/>
      </c>
      <c r="K345" s="13"/>
      <c r="L345" s="13"/>
    </row>
    <row r="346" customFormat="false" ht="15" hidden="false" customHeight="false" outlineLevel="0" collapsed="false">
      <c r="A346" s="12"/>
      <c r="B346" s="12"/>
      <c r="C346" s="12"/>
      <c r="D346" s="12"/>
      <c r="E346" s="23"/>
      <c r="F346" s="13"/>
      <c r="G346" s="23"/>
      <c r="H346" s="13"/>
      <c r="I346" s="15" t="str">
        <f aca="false">IF(AND(ISNUMBER(E346),ISNUMBER(G346)),(G346-E346)*1440,"")</f>
        <v/>
      </c>
      <c r="J346" s="13" t="str">
        <f aca="false">IF(E346="","",IF(ISNUMBER(I346),IF(I346&lt;=60,"OK","VIOLADO"),"Sem contacto"))</f>
        <v/>
      </c>
      <c r="K346" s="13"/>
      <c r="L346" s="13"/>
    </row>
    <row r="347" customFormat="false" ht="15" hidden="false" customHeight="false" outlineLevel="0" collapsed="false">
      <c r="A347" s="12"/>
      <c r="B347" s="12"/>
      <c r="C347" s="12"/>
      <c r="D347" s="12"/>
      <c r="E347" s="23"/>
      <c r="F347" s="13"/>
      <c r="G347" s="23"/>
      <c r="H347" s="13"/>
      <c r="I347" s="15" t="str">
        <f aca="false">IF(AND(ISNUMBER(E347),ISNUMBER(G347)),(G347-E347)*1440,"")</f>
        <v/>
      </c>
      <c r="J347" s="13" t="str">
        <f aca="false">IF(E347="","",IF(ISNUMBER(I347),IF(I347&lt;=60,"OK","VIOLADO"),"Sem contacto"))</f>
        <v/>
      </c>
      <c r="K347" s="13"/>
      <c r="L347" s="13"/>
    </row>
    <row r="348" customFormat="false" ht="15" hidden="false" customHeight="false" outlineLevel="0" collapsed="false">
      <c r="A348" s="12"/>
      <c r="B348" s="12"/>
      <c r="C348" s="12"/>
      <c r="D348" s="12"/>
      <c r="E348" s="23"/>
      <c r="F348" s="13"/>
      <c r="G348" s="23"/>
      <c r="H348" s="13"/>
      <c r="I348" s="15" t="str">
        <f aca="false">IF(AND(ISNUMBER(E348),ISNUMBER(G348)),(G348-E348)*1440,"")</f>
        <v/>
      </c>
      <c r="J348" s="13" t="str">
        <f aca="false">IF(E348="","",IF(ISNUMBER(I348),IF(I348&lt;=60,"OK","VIOLADO"),"Sem contacto"))</f>
        <v/>
      </c>
      <c r="K348" s="13"/>
      <c r="L348" s="13"/>
    </row>
    <row r="349" customFormat="false" ht="15" hidden="false" customHeight="false" outlineLevel="0" collapsed="false">
      <c r="A349" s="12"/>
      <c r="B349" s="12"/>
      <c r="C349" s="12"/>
      <c r="D349" s="12"/>
      <c r="E349" s="23"/>
      <c r="F349" s="13"/>
      <c r="G349" s="23"/>
      <c r="H349" s="13"/>
      <c r="I349" s="15" t="str">
        <f aca="false">IF(AND(ISNUMBER(E349),ISNUMBER(G349)),(G349-E349)*1440,"")</f>
        <v/>
      </c>
      <c r="J349" s="13" t="str">
        <f aca="false">IF(E349="","",IF(ISNUMBER(I349),IF(I349&lt;=60,"OK","VIOLADO"),"Sem contacto"))</f>
        <v/>
      </c>
      <c r="K349" s="13"/>
      <c r="L349" s="13"/>
    </row>
    <row r="350" customFormat="false" ht="15" hidden="false" customHeight="false" outlineLevel="0" collapsed="false">
      <c r="A350" s="12"/>
      <c r="B350" s="12"/>
      <c r="C350" s="12"/>
      <c r="D350" s="12"/>
      <c r="E350" s="23"/>
      <c r="F350" s="13"/>
      <c r="G350" s="23"/>
      <c r="H350" s="13"/>
      <c r="I350" s="15" t="str">
        <f aca="false">IF(AND(ISNUMBER(E350),ISNUMBER(G350)),(G350-E350)*1440,"")</f>
        <v/>
      </c>
      <c r="J350" s="13" t="str">
        <f aca="false">IF(E350="","",IF(ISNUMBER(I350),IF(I350&lt;=60,"OK","VIOLADO"),"Sem contacto"))</f>
        <v/>
      </c>
      <c r="K350" s="13"/>
      <c r="L350" s="13"/>
    </row>
    <row r="351" customFormat="false" ht="15" hidden="false" customHeight="false" outlineLevel="0" collapsed="false">
      <c r="A351" s="12"/>
      <c r="B351" s="12"/>
      <c r="C351" s="12"/>
      <c r="D351" s="12"/>
      <c r="E351" s="23"/>
      <c r="F351" s="13"/>
      <c r="G351" s="23"/>
      <c r="H351" s="13"/>
      <c r="I351" s="15" t="str">
        <f aca="false">IF(AND(ISNUMBER(E351),ISNUMBER(G351)),(G351-E351)*1440,"")</f>
        <v/>
      </c>
      <c r="J351" s="13" t="str">
        <f aca="false">IF(E351="","",IF(ISNUMBER(I351),IF(I351&lt;=60,"OK","VIOLADO"),"Sem contacto"))</f>
        <v/>
      </c>
      <c r="K351" s="13"/>
      <c r="L351" s="13"/>
    </row>
    <row r="352" customFormat="false" ht="15" hidden="false" customHeight="false" outlineLevel="0" collapsed="false">
      <c r="A352" s="12"/>
      <c r="B352" s="12"/>
      <c r="C352" s="12"/>
      <c r="D352" s="12"/>
      <c r="E352" s="23"/>
      <c r="F352" s="13"/>
      <c r="G352" s="23"/>
      <c r="H352" s="13"/>
      <c r="I352" s="15" t="str">
        <f aca="false">IF(AND(ISNUMBER(E352),ISNUMBER(G352)),(G352-E352)*1440,"")</f>
        <v/>
      </c>
      <c r="J352" s="13" t="str">
        <f aca="false">IF(E352="","",IF(ISNUMBER(I352),IF(I352&lt;=60,"OK","VIOLADO"),"Sem contacto"))</f>
        <v/>
      </c>
      <c r="K352" s="13"/>
      <c r="L352" s="13"/>
    </row>
    <row r="353" customFormat="false" ht="15" hidden="false" customHeight="false" outlineLevel="0" collapsed="false">
      <c r="A353" s="12"/>
      <c r="B353" s="12"/>
      <c r="C353" s="12"/>
      <c r="D353" s="12"/>
      <c r="E353" s="23"/>
      <c r="F353" s="13"/>
      <c r="G353" s="23"/>
      <c r="H353" s="13"/>
      <c r="I353" s="15" t="str">
        <f aca="false">IF(AND(ISNUMBER(E353),ISNUMBER(G353)),(G353-E353)*1440,"")</f>
        <v/>
      </c>
      <c r="J353" s="13" t="str">
        <f aca="false">IF(E353="","",IF(ISNUMBER(I353),IF(I353&lt;=60,"OK","VIOLADO"),"Sem contacto"))</f>
        <v/>
      </c>
      <c r="K353" s="13"/>
      <c r="L353" s="13"/>
    </row>
    <row r="354" customFormat="false" ht="15" hidden="false" customHeight="false" outlineLevel="0" collapsed="false">
      <c r="A354" s="12"/>
      <c r="B354" s="12"/>
      <c r="C354" s="12"/>
      <c r="D354" s="12"/>
      <c r="E354" s="23"/>
      <c r="F354" s="13"/>
      <c r="G354" s="23"/>
      <c r="H354" s="13"/>
      <c r="I354" s="15" t="str">
        <f aca="false">IF(AND(ISNUMBER(E354),ISNUMBER(G354)),(G354-E354)*1440,"")</f>
        <v/>
      </c>
      <c r="J354" s="13" t="str">
        <f aca="false">IF(E354="","",IF(ISNUMBER(I354),IF(I354&lt;=60,"OK","VIOLADO"),"Sem contacto"))</f>
        <v/>
      </c>
      <c r="K354" s="13"/>
      <c r="L354" s="13"/>
    </row>
    <row r="355" customFormat="false" ht="15" hidden="false" customHeight="false" outlineLevel="0" collapsed="false">
      <c r="A355" s="12"/>
      <c r="B355" s="12"/>
      <c r="C355" s="12"/>
      <c r="D355" s="12"/>
      <c r="E355" s="23"/>
      <c r="F355" s="13"/>
      <c r="G355" s="23"/>
      <c r="H355" s="13"/>
      <c r="I355" s="15" t="str">
        <f aca="false">IF(AND(ISNUMBER(E355),ISNUMBER(G355)),(G355-E355)*1440,"")</f>
        <v/>
      </c>
      <c r="J355" s="13" t="str">
        <f aca="false">IF(E355="","",IF(ISNUMBER(I355),IF(I355&lt;=60,"OK","VIOLADO"),"Sem contacto"))</f>
        <v/>
      </c>
      <c r="K355" s="13"/>
      <c r="L355" s="13"/>
    </row>
    <row r="356" customFormat="false" ht="15" hidden="false" customHeight="false" outlineLevel="0" collapsed="false">
      <c r="A356" s="12"/>
      <c r="B356" s="12"/>
      <c r="C356" s="12"/>
      <c r="D356" s="12"/>
      <c r="E356" s="23"/>
      <c r="F356" s="13"/>
      <c r="G356" s="23"/>
      <c r="H356" s="13"/>
      <c r="I356" s="15" t="str">
        <f aca="false">IF(AND(ISNUMBER(E356),ISNUMBER(G356)),(G356-E356)*1440,"")</f>
        <v/>
      </c>
      <c r="J356" s="13" t="str">
        <f aca="false">IF(E356="","",IF(ISNUMBER(I356),IF(I356&lt;=60,"OK","VIOLADO"),"Sem contacto"))</f>
        <v/>
      </c>
      <c r="K356" s="13"/>
      <c r="L356" s="13"/>
    </row>
    <row r="357" customFormat="false" ht="15" hidden="false" customHeight="false" outlineLevel="0" collapsed="false">
      <c r="A357" s="12"/>
      <c r="B357" s="12"/>
      <c r="C357" s="12"/>
      <c r="D357" s="12"/>
      <c r="E357" s="23"/>
      <c r="F357" s="13"/>
      <c r="G357" s="23"/>
      <c r="H357" s="13"/>
      <c r="I357" s="15" t="str">
        <f aca="false">IF(AND(ISNUMBER(E357),ISNUMBER(G357)),(G357-E357)*1440,"")</f>
        <v/>
      </c>
      <c r="J357" s="13" t="str">
        <f aca="false">IF(E357="","",IF(ISNUMBER(I357),IF(I357&lt;=60,"OK","VIOLADO"),"Sem contacto"))</f>
        <v/>
      </c>
      <c r="K357" s="13"/>
      <c r="L357" s="13"/>
    </row>
    <row r="358" customFormat="false" ht="15" hidden="false" customHeight="false" outlineLevel="0" collapsed="false">
      <c r="A358" s="12"/>
      <c r="B358" s="12"/>
      <c r="C358" s="12"/>
      <c r="D358" s="12"/>
      <c r="E358" s="23"/>
      <c r="F358" s="13"/>
      <c r="G358" s="23"/>
      <c r="H358" s="13"/>
      <c r="I358" s="15" t="str">
        <f aca="false">IF(AND(ISNUMBER(E358),ISNUMBER(G358)),(G358-E358)*1440,"")</f>
        <v/>
      </c>
      <c r="J358" s="13" t="str">
        <f aca="false">IF(E358="","",IF(ISNUMBER(I358),IF(I358&lt;=60,"OK","VIOLADO"),"Sem contacto"))</f>
        <v/>
      </c>
      <c r="K358" s="13"/>
      <c r="L358" s="13"/>
    </row>
    <row r="359" customFormat="false" ht="15" hidden="false" customHeight="false" outlineLevel="0" collapsed="false">
      <c r="A359" s="12"/>
      <c r="B359" s="12"/>
      <c r="C359" s="12"/>
      <c r="D359" s="12"/>
      <c r="E359" s="23"/>
      <c r="F359" s="13"/>
      <c r="G359" s="23"/>
      <c r="H359" s="13"/>
      <c r="I359" s="15" t="str">
        <f aca="false">IF(AND(ISNUMBER(E359),ISNUMBER(G359)),(G359-E359)*1440,"")</f>
        <v/>
      </c>
      <c r="J359" s="13" t="str">
        <f aca="false">IF(E359="","",IF(ISNUMBER(I359),IF(I359&lt;=60,"OK","VIOLADO"),"Sem contacto"))</f>
        <v/>
      </c>
      <c r="K359" s="13"/>
      <c r="L359" s="13"/>
    </row>
    <row r="360" customFormat="false" ht="15" hidden="false" customHeight="false" outlineLevel="0" collapsed="false">
      <c r="A360" s="12"/>
      <c r="B360" s="12"/>
      <c r="C360" s="12"/>
      <c r="D360" s="12"/>
      <c r="E360" s="23"/>
      <c r="F360" s="13"/>
      <c r="G360" s="23"/>
      <c r="H360" s="13"/>
      <c r="I360" s="15" t="str">
        <f aca="false">IF(AND(ISNUMBER(E360),ISNUMBER(G360)),(G360-E360)*1440,"")</f>
        <v/>
      </c>
      <c r="J360" s="13" t="str">
        <f aca="false">IF(E360="","",IF(ISNUMBER(I360),IF(I360&lt;=60,"OK","VIOLADO"),"Sem contacto"))</f>
        <v/>
      </c>
      <c r="K360" s="13"/>
      <c r="L360" s="13"/>
    </row>
    <row r="361" customFormat="false" ht="15" hidden="false" customHeight="false" outlineLevel="0" collapsed="false">
      <c r="A361" s="12"/>
      <c r="B361" s="12"/>
      <c r="C361" s="12"/>
      <c r="D361" s="12"/>
      <c r="E361" s="23"/>
      <c r="F361" s="13"/>
      <c r="G361" s="23"/>
      <c r="H361" s="13"/>
      <c r="I361" s="15" t="str">
        <f aca="false">IF(AND(ISNUMBER(E361),ISNUMBER(G361)),(G361-E361)*1440,"")</f>
        <v/>
      </c>
      <c r="J361" s="13" t="str">
        <f aca="false">IF(E361="","",IF(ISNUMBER(I361),IF(I361&lt;=60,"OK","VIOLADO"),"Sem contacto"))</f>
        <v/>
      </c>
      <c r="K361" s="13"/>
      <c r="L361" s="13"/>
    </row>
    <row r="362" customFormat="false" ht="15" hidden="false" customHeight="false" outlineLevel="0" collapsed="false">
      <c r="A362" s="12"/>
      <c r="B362" s="12"/>
      <c r="C362" s="12"/>
      <c r="D362" s="12"/>
      <c r="E362" s="23"/>
      <c r="F362" s="13"/>
      <c r="G362" s="23"/>
      <c r="H362" s="13"/>
      <c r="I362" s="15" t="str">
        <f aca="false">IF(AND(ISNUMBER(E362),ISNUMBER(G362)),(G362-E362)*1440,"")</f>
        <v/>
      </c>
      <c r="J362" s="13" t="str">
        <f aca="false">IF(E362="","",IF(ISNUMBER(I362),IF(I362&lt;=60,"OK","VIOLADO"),"Sem contacto"))</f>
        <v/>
      </c>
      <c r="K362" s="13"/>
      <c r="L362" s="13"/>
    </row>
    <row r="363" customFormat="false" ht="15" hidden="false" customHeight="false" outlineLevel="0" collapsed="false">
      <c r="A363" s="12"/>
      <c r="B363" s="12"/>
      <c r="C363" s="12"/>
      <c r="D363" s="12"/>
      <c r="E363" s="23"/>
      <c r="F363" s="13"/>
      <c r="G363" s="23"/>
      <c r="H363" s="13"/>
      <c r="I363" s="15" t="str">
        <f aca="false">IF(AND(ISNUMBER(E363),ISNUMBER(G363)),(G363-E363)*1440,"")</f>
        <v/>
      </c>
      <c r="J363" s="13" t="str">
        <f aca="false">IF(E363="","",IF(ISNUMBER(I363),IF(I363&lt;=60,"OK","VIOLADO"),"Sem contacto"))</f>
        <v/>
      </c>
      <c r="K363" s="13"/>
      <c r="L363" s="13"/>
    </row>
    <row r="364" customFormat="false" ht="15" hidden="false" customHeight="false" outlineLevel="0" collapsed="false">
      <c r="A364" s="12"/>
      <c r="B364" s="12"/>
      <c r="C364" s="12"/>
      <c r="D364" s="12"/>
      <c r="E364" s="23"/>
      <c r="F364" s="13"/>
      <c r="G364" s="23"/>
      <c r="H364" s="13"/>
      <c r="I364" s="15" t="str">
        <f aca="false">IF(AND(ISNUMBER(E364),ISNUMBER(G364)),(G364-E364)*1440,"")</f>
        <v/>
      </c>
      <c r="J364" s="13" t="str">
        <f aca="false">IF(E364="","",IF(ISNUMBER(I364),IF(I364&lt;=60,"OK","VIOLADO"),"Sem contacto"))</f>
        <v/>
      </c>
      <c r="K364" s="13"/>
      <c r="L364" s="13"/>
    </row>
    <row r="365" customFormat="false" ht="15" hidden="false" customHeight="false" outlineLevel="0" collapsed="false">
      <c r="A365" s="12"/>
      <c r="B365" s="12"/>
      <c r="C365" s="12"/>
      <c r="D365" s="12"/>
      <c r="E365" s="23"/>
      <c r="F365" s="13"/>
      <c r="G365" s="23"/>
      <c r="H365" s="13"/>
      <c r="I365" s="15" t="str">
        <f aca="false">IF(AND(ISNUMBER(E365),ISNUMBER(G365)),(G365-E365)*1440,"")</f>
        <v/>
      </c>
      <c r="J365" s="13" t="str">
        <f aca="false">IF(E365="","",IF(ISNUMBER(I365),IF(I365&lt;=60,"OK","VIOLADO"),"Sem contacto"))</f>
        <v/>
      </c>
      <c r="K365" s="13"/>
      <c r="L365" s="13"/>
    </row>
    <row r="366" customFormat="false" ht="15" hidden="false" customHeight="false" outlineLevel="0" collapsed="false">
      <c r="A366" s="12"/>
      <c r="B366" s="12"/>
      <c r="C366" s="12"/>
      <c r="D366" s="12"/>
      <c r="E366" s="23"/>
      <c r="F366" s="13"/>
      <c r="G366" s="23"/>
      <c r="H366" s="13"/>
      <c r="I366" s="15" t="str">
        <f aca="false">IF(AND(ISNUMBER(E366),ISNUMBER(G366)),(G366-E366)*1440,"")</f>
        <v/>
      </c>
      <c r="J366" s="13" t="str">
        <f aca="false">IF(E366="","",IF(ISNUMBER(I366),IF(I366&lt;=60,"OK","VIOLADO"),"Sem contacto"))</f>
        <v/>
      </c>
      <c r="K366" s="13"/>
      <c r="L366" s="13"/>
    </row>
    <row r="367" customFormat="false" ht="15" hidden="false" customHeight="false" outlineLevel="0" collapsed="false">
      <c r="A367" s="12"/>
      <c r="B367" s="12"/>
      <c r="C367" s="12"/>
      <c r="D367" s="12"/>
      <c r="E367" s="23"/>
      <c r="F367" s="13"/>
      <c r="G367" s="23"/>
      <c r="H367" s="13"/>
      <c r="I367" s="15" t="str">
        <f aca="false">IF(AND(ISNUMBER(E367),ISNUMBER(G367)),(G367-E367)*1440,"")</f>
        <v/>
      </c>
      <c r="J367" s="13" t="str">
        <f aca="false">IF(E367="","",IF(ISNUMBER(I367),IF(I367&lt;=60,"OK","VIOLADO"),"Sem contacto"))</f>
        <v/>
      </c>
      <c r="K367" s="13"/>
      <c r="L367" s="13"/>
    </row>
    <row r="368" customFormat="false" ht="15" hidden="false" customHeight="false" outlineLevel="0" collapsed="false">
      <c r="A368" s="12"/>
      <c r="B368" s="12"/>
      <c r="C368" s="12"/>
      <c r="D368" s="12"/>
      <c r="E368" s="23"/>
      <c r="F368" s="13"/>
      <c r="G368" s="23"/>
      <c r="H368" s="13"/>
      <c r="I368" s="15" t="str">
        <f aca="false">IF(AND(ISNUMBER(E368),ISNUMBER(G368)),(G368-E368)*1440,"")</f>
        <v/>
      </c>
      <c r="J368" s="13" t="str">
        <f aca="false">IF(E368="","",IF(ISNUMBER(I368),IF(I368&lt;=60,"OK","VIOLADO"),"Sem contacto"))</f>
        <v/>
      </c>
      <c r="K368" s="13"/>
      <c r="L368" s="13"/>
    </row>
    <row r="369" customFormat="false" ht="15" hidden="false" customHeight="false" outlineLevel="0" collapsed="false">
      <c r="A369" s="12"/>
      <c r="B369" s="12"/>
      <c r="C369" s="12"/>
      <c r="D369" s="12"/>
      <c r="E369" s="23"/>
      <c r="F369" s="13"/>
      <c r="G369" s="23"/>
      <c r="H369" s="13"/>
      <c r="I369" s="15" t="str">
        <f aca="false">IF(AND(ISNUMBER(E369),ISNUMBER(G369)),(G369-E369)*1440,"")</f>
        <v/>
      </c>
      <c r="J369" s="13" t="str">
        <f aca="false">IF(E369="","",IF(ISNUMBER(I369),IF(I369&lt;=60,"OK","VIOLADO"),"Sem contacto"))</f>
        <v/>
      </c>
      <c r="K369" s="13"/>
      <c r="L369" s="13"/>
    </row>
    <row r="370" customFormat="false" ht="15" hidden="false" customHeight="false" outlineLevel="0" collapsed="false">
      <c r="A370" s="12"/>
      <c r="B370" s="12"/>
      <c r="C370" s="12"/>
      <c r="D370" s="12"/>
      <c r="E370" s="23"/>
      <c r="F370" s="13"/>
      <c r="G370" s="23"/>
      <c r="H370" s="13"/>
      <c r="I370" s="15" t="str">
        <f aca="false">IF(AND(ISNUMBER(E370),ISNUMBER(G370)),(G370-E370)*1440,"")</f>
        <v/>
      </c>
      <c r="J370" s="13" t="str">
        <f aca="false">IF(E370="","",IF(ISNUMBER(I370),IF(I370&lt;=60,"OK","VIOLADO"),"Sem contacto"))</f>
        <v/>
      </c>
      <c r="K370" s="13"/>
      <c r="L370" s="13"/>
    </row>
    <row r="371" customFormat="false" ht="15" hidden="false" customHeight="false" outlineLevel="0" collapsed="false">
      <c r="A371" s="12"/>
      <c r="B371" s="12"/>
      <c r="C371" s="12"/>
      <c r="D371" s="12"/>
      <c r="E371" s="23"/>
      <c r="F371" s="13"/>
      <c r="G371" s="23"/>
      <c r="H371" s="13"/>
      <c r="I371" s="15" t="str">
        <f aca="false">IF(AND(ISNUMBER(E371),ISNUMBER(G371)),(G371-E371)*1440,"")</f>
        <v/>
      </c>
      <c r="J371" s="13" t="str">
        <f aca="false">IF(E371="","",IF(ISNUMBER(I371),IF(I371&lt;=60,"OK","VIOLADO"),"Sem contacto"))</f>
        <v/>
      </c>
      <c r="K371" s="13"/>
      <c r="L371" s="13"/>
    </row>
    <row r="372" customFormat="false" ht="15" hidden="false" customHeight="false" outlineLevel="0" collapsed="false">
      <c r="A372" s="12"/>
      <c r="B372" s="12"/>
      <c r="C372" s="12"/>
      <c r="D372" s="12"/>
      <c r="E372" s="23"/>
      <c r="F372" s="13"/>
      <c r="G372" s="23"/>
      <c r="H372" s="13"/>
      <c r="I372" s="15" t="str">
        <f aca="false">IF(AND(ISNUMBER(E372),ISNUMBER(G372)),(G372-E372)*1440,"")</f>
        <v/>
      </c>
      <c r="J372" s="13" t="str">
        <f aca="false">IF(E372="","",IF(ISNUMBER(I372),IF(I372&lt;=60,"OK","VIOLADO"),"Sem contacto"))</f>
        <v/>
      </c>
      <c r="K372" s="13"/>
      <c r="L372" s="13"/>
    </row>
    <row r="373" customFormat="false" ht="15" hidden="false" customHeight="false" outlineLevel="0" collapsed="false">
      <c r="A373" s="12"/>
      <c r="B373" s="12"/>
      <c r="C373" s="12"/>
      <c r="D373" s="12"/>
      <c r="E373" s="23"/>
      <c r="F373" s="13"/>
      <c r="G373" s="23"/>
      <c r="H373" s="13"/>
      <c r="I373" s="15" t="str">
        <f aca="false">IF(AND(ISNUMBER(E373),ISNUMBER(G373)),(G373-E373)*1440,"")</f>
        <v/>
      </c>
      <c r="J373" s="13" t="str">
        <f aca="false">IF(E373="","",IF(ISNUMBER(I373),IF(I373&lt;=60,"OK","VIOLADO"),"Sem contacto"))</f>
        <v/>
      </c>
      <c r="K373" s="13"/>
      <c r="L373" s="13"/>
    </row>
    <row r="374" customFormat="false" ht="15" hidden="false" customHeight="false" outlineLevel="0" collapsed="false">
      <c r="A374" s="12"/>
      <c r="B374" s="12"/>
      <c r="C374" s="12"/>
      <c r="D374" s="12"/>
      <c r="E374" s="23"/>
      <c r="F374" s="13"/>
      <c r="G374" s="23"/>
      <c r="H374" s="13"/>
      <c r="I374" s="15" t="str">
        <f aca="false">IF(AND(ISNUMBER(E374),ISNUMBER(G374)),(G374-E374)*1440,"")</f>
        <v/>
      </c>
      <c r="J374" s="13" t="str">
        <f aca="false">IF(E374="","",IF(ISNUMBER(I374),IF(I374&lt;=60,"OK","VIOLADO"),"Sem contacto"))</f>
        <v/>
      </c>
      <c r="K374" s="13"/>
      <c r="L374" s="13"/>
    </row>
    <row r="375" customFormat="false" ht="15" hidden="false" customHeight="false" outlineLevel="0" collapsed="false">
      <c r="A375" s="12"/>
      <c r="B375" s="12"/>
      <c r="C375" s="12"/>
      <c r="D375" s="12"/>
      <c r="E375" s="23"/>
      <c r="F375" s="13"/>
      <c r="G375" s="23"/>
      <c r="H375" s="13"/>
      <c r="I375" s="15" t="str">
        <f aca="false">IF(AND(ISNUMBER(E375),ISNUMBER(G375)),(G375-E375)*1440,"")</f>
        <v/>
      </c>
      <c r="J375" s="13" t="str">
        <f aca="false">IF(E375="","",IF(ISNUMBER(I375),IF(I375&lt;=60,"OK","VIOLADO"),"Sem contacto"))</f>
        <v/>
      </c>
      <c r="K375" s="13"/>
      <c r="L375" s="13"/>
    </row>
    <row r="376" customFormat="false" ht="15" hidden="false" customHeight="false" outlineLevel="0" collapsed="false">
      <c r="A376" s="12"/>
      <c r="B376" s="12"/>
      <c r="C376" s="12"/>
      <c r="D376" s="12"/>
      <c r="E376" s="23"/>
      <c r="F376" s="13"/>
      <c r="G376" s="23"/>
      <c r="H376" s="13"/>
      <c r="I376" s="15" t="str">
        <f aca="false">IF(AND(ISNUMBER(E376),ISNUMBER(G376)),(G376-E376)*1440,"")</f>
        <v/>
      </c>
      <c r="J376" s="13" t="str">
        <f aca="false">IF(E376="","",IF(ISNUMBER(I376),IF(I376&lt;=60,"OK","VIOLADO"),"Sem contacto"))</f>
        <v/>
      </c>
      <c r="K376" s="13"/>
      <c r="L376" s="13"/>
    </row>
    <row r="377" customFormat="false" ht="15" hidden="false" customHeight="false" outlineLevel="0" collapsed="false">
      <c r="A377" s="12"/>
      <c r="B377" s="12"/>
      <c r="C377" s="12"/>
      <c r="D377" s="12"/>
      <c r="E377" s="23"/>
      <c r="F377" s="13"/>
      <c r="G377" s="23"/>
      <c r="H377" s="13"/>
      <c r="I377" s="15" t="str">
        <f aca="false">IF(AND(ISNUMBER(E377),ISNUMBER(G377)),(G377-E377)*1440,"")</f>
        <v/>
      </c>
      <c r="J377" s="13" t="str">
        <f aca="false">IF(E377="","",IF(ISNUMBER(I377),IF(I377&lt;=60,"OK","VIOLADO"),"Sem contacto"))</f>
        <v/>
      </c>
      <c r="K377" s="13"/>
      <c r="L377" s="13"/>
    </row>
    <row r="378" customFormat="false" ht="15" hidden="false" customHeight="false" outlineLevel="0" collapsed="false">
      <c r="A378" s="12"/>
      <c r="B378" s="12"/>
      <c r="C378" s="12"/>
      <c r="D378" s="12"/>
      <c r="E378" s="23"/>
      <c r="F378" s="13"/>
      <c r="G378" s="23"/>
      <c r="H378" s="13"/>
      <c r="I378" s="15" t="str">
        <f aca="false">IF(AND(ISNUMBER(E378),ISNUMBER(G378)),(G378-E378)*1440,"")</f>
        <v/>
      </c>
      <c r="J378" s="13" t="str">
        <f aca="false">IF(E378="","",IF(ISNUMBER(I378),IF(I378&lt;=60,"OK","VIOLADO"),"Sem contacto"))</f>
        <v/>
      </c>
      <c r="K378" s="13"/>
      <c r="L378" s="13"/>
    </row>
    <row r="379" customFormat="false" ht="15" hidden="false" customHeight="false" outlineLevel="0" collapsed="false">
      <c r="A379" s="12"/>
      <c r="B379" s="12"/>
      <c r="C379" s="12"/>
      <c r="D379" s="12"/>
      <c r="E379" s="23"/>
      <c r="F379" s="13"/>
      <c r="G379" s="23"/>
      <c r="H379" s="13"/>
      <c r="I379" s="15" t="str">
        <f aca="false">IF(AND(ISNUMBER(E379),ISNUMBER(G379)),(G379-E379)*1440,"")</f>
        <v/>
      </c>
      <c r="J379" s="13" t="str">
        <f aca="false">IF(E379="","",IF(ISNUMBER(I379),IF(I379&lt;=60,"OK","VIOLADO"),"Sem contacto"))</f>
        <v/>
      </c>
      <c r="K379" s="13"/>
      <c r="L379" s="13"/>
    </row>
    <row r="380" customFormat="false" ht="15" hidden="false" customHeight="false" outlineLevel="0" collapsed="false">
      <c r="A380" s="12"/>
      <c r="B380" s="12"/>
      <c r="C380" s="12"/>
      <c r="D380" s="12"/>
      <c r="E380" s="23"/>
      <c r="F380" s="13"/>
      <c r="G380" s="23"/>
      <c r="H380" s="13"/>
      <c r="I380" s="15" t="str">
        <f aca="false">IF(AND(ISNUMBER(E380),ISNUMBER(G380)),(G380-E380)*1440,"")</f>
        <v/>
      </c>
      <c r="J380" s="13" t="str">
        <f aca="false">IF(E380="","",IF(ISNUMBER(I380),IF(I380&lt;=60,"OK","VIOLADO"),"Sem contacto"))</f>
        <v/>
      </c>
      <c r="K380" s="13"/>
      <c r="L380" s="13"/>
    </row>
    <row r="381" customFormat="false" ht="15" hidden="false" customHeight="false" outlineLevel="0" collapsed="false">
      <c r="A381" s="12"/>
      <c r="B381" s="12"/>
      <c r="C381" s="12"/>
      <c r="D381" s="12"/>
      <c r="E381" s="23"/>
      <c r="F381" s="13"/>
      <c r="G381" s="23"/>
      <c r="H381" s="13"/>
      <c r="I381" s="15" t="str">
        <f aca="false">IF(AND(ISNUMBER(E381),ISNUMBER(G381)),(G381-E381)*1440,"")</f>
        <v/>
      </c>
      <c r="J381" s="13" t="str">
        <f aca="false">IF(E381="","",IF(ISNUMBER(I381),IF(I381&lt;=60,"OK","VIOLADO"),"Sem contacto"))</f>
        <v/>
      </c>
      <c r="K381" s="13"/>
      <c r="L381" s="13"/>
    </row>
    <row r="382" customFormat="false" ht="15" hidden="false" customHeight="false" outlineLevel="0" collapsed="false">
      <c r="A382" s="12"/>
      <c r="B382" s="12"/>
      <c r="C382" s="12"/>
      <c r="D382" s="12"/>
      <c r="E382" s="23"/>
      <c r="F382" s="13"/>
      <c r="G382" s="23"/>
      <c r="H382" s="13"/>
      <c r="I382" s="15" t="str">
        <f aca="false">IF(AND(ISNUMBER(E382),ISNUMBER(G382)),(G382-E382)*1440,"")</f>
        <v/>
      </c>
      <c r="J382" s="13" t="str">
        <f aca="false">IF(E382="","",IF(ISNUMBER(I382),IF(I382&lt;=60,"OK","VIOLADO"),"Sem contacto"))</f>
        <v/>
      </c>
      <c r="K382" s="13"/>
      <c r="L382" s="13"/>
    </row>
    <row r="383" customFormat="false" ht="15" hidden="false" customHeight="false" outlineLevel="0" collapsed="false">
      <c r="A383" s="12"/>
      <c r="B383" s="12"/>
      <c r="C383" s="12"/>
      <c r="D383" s="12"/>
      <c r="E383" s="23"/>
      <c r="F383" s="13"/>
      <c r="G383" s="23"/>
      <c r="H383" s="13"/>
      <c r="I383" s="15" t="str">
        <f aca="false">IF(AND(ISNUMBER(E383),ISNUMBER(G383)),(G383-E383)*1440,"")</f>
        <v/>
      </c>
      <c r="J383" s="13" t="str">
        <f aca="false">IF(E383="","",IF(ISNUMBER(I383),IF(I383&lt;=60,"OK","VIOLADO"),"Sem contacto"))</f>
        <v/>
      </c>
      <c r="K383" s="13"/>
      <c r="L383" s="13"/>
    </row>
    <row r="384" customFormat="false" ht="15" hidden="false" customHeight="false" outlineLevel="0" collapsed="false">
      <c r="A384" s="12"/>
      <c r="B384" s="12"/>
      <c r="C384" s="12"/>
      <c r="D384" s="12"/>
      <c r="E384" s="23"/>
      <c r="F384" s="13"/>
      <c r="G384" s="23"/>
      <c r="H384" s="13"/>
      <c r="I384" s="15" t="str">
        <f aca="false">IF(AND(ISNUMBER(E384),ISNUMBER(G384)),(G384-E384)*1440,"")</f>
        <v/>
      </c>
      <c r="J384" s="13" t="str">
        <f aca="false">IF(E384="","",IF(ISNUMBER(I384),IF(I384&lt;=60,"OK","VIOLADO"),"Sem contacto"))</f>
        <v/>
      </c>
      <c r="K384" s="13"/>
      <c r="L384" s="13"/>
    </row>
    <row r="385" customFormat="false" ht="15" hidden="false" customHeight="false" outlineLevel="0" collapsed="false">
      <c r="A385" s="12"/>
      <c r="B385" s="12"/>
      <c r="C385" s="12"/>
      <c r="D385" s="12"/>
      <c r="E385" s="23"/>
      <c r="F385" s="13"/>
      <c r="G385" s="23"/>
      <c r="H385" s="13"/>
      <c r="I385" s="15" t="str">
        <f aca="false">IF(AND(ISNUMBER(E385),ISNUMBER(G385)),(G385-E385)*1440,"")</f>
        <v/>
      </c>
      <c r="J385" s="13" t="str">
        <f aca="false">IF(E385="","",IF(ISNUMBER(I385),IF(I385&lt;=60,"OK","VIOLADO"),"Sem contacto"))</f>
        <v/>
      </c>
      <c r="K385" s="13"/>
      <c r="L385" s="13"/>
    </row>
    <row r="386" customFormat="false" ht="15" hidden="false" customHeight="false" outlineLevel="0" collapsed="false">
      <c r="A386" s="12"/>
      <c r="B386" s="12"/>
      <c r="C386" s="12"/>
      <c r="D386" s="12"/>
      <c r="E386" s="23"/>
      <c r="F386" s="13"/>
      <c r="G386" s="23"/>
      <c r="H386" s="13"/>
      <c r="I386" s="15" t="str">
        <f aca="false">IF(AND(ISNUMBER(E386),ISNUMBER(G386)),(G386-E386)*1440,"")</f>
        <v/>
      </c>
      <c r="J386" s="13" t="str">
        <f aca="false">IF(E386="","",IF(ISNUMBER(I386),IF(I386&lt;=60,"OK","VIOLADO"),"Sem contacto"))</f>
        <v/>
      </c>
      <c r="K386" s="13"/>
      <c r="L386" s="13"/>
    </row>
    <row r="387" customFormat="false" ht="15" hidden="false" customHeight="false" outlineLevel="0" collapsed="false">
      <c r="A387" s="12"/>
      <c r="B387" s="12"/>
      <c r="C387" s="12"/>
      <c r="D387" s="12"/>
      <c r="E387" s="23"/>
      <c r="F387" s="13"/>
      <c r="G387" s="23"/>
      <c r="H387" s="13"/>
      <c r="I387" s="15" t="str">
        <f aca="false">IF(AND(ISNUMBER(E387),ISNUMBER(G387)),(G387-E387)*1440,"")</f>
        <v/>
      </c>
      <c r="J387" s="13" t="str">
        <f aca="false">IF(E387="","",IF(ISNUMBER(I387),IF(I387&lt;=60,"OK","VIOLADO"),"Sem contacto"))</f>
        <v/>
      </c>
      <c r="K387" s="13"/>
      <c r="L387" s="13"/>
    </row>
    <row r="388" customFormat="false" ht="15" hidden="false" customHeight="false" outlineLevel="0" collapsed="false">
      <c r="A388" s="12"/>
      <c r="B388" s="12"/>
      <c r="C388" s="12"/>
      <c r="D388" s="12"/>
      <c r="E388" s="23"/>
      <c r="F388" s="13"/>
      <c r="G388" s="23"/>
      <c r="H388" s="13"/>
      <c r="I388" s="15" t="str">
        <f aca="false">IF(AND(ISNUMBER(E388),ISNUMBER(G388)),(G388-E388)*1440,"")</f>
        <v/>
      </c>
      <c r="J388" s="13" t="str">
        <f aca="false">IF(E388="","",IF(ISNUMBER(I388),IF(I388&lt;=60,"OK","VIOLADO"),"Sem contacto"))</f>
        <v/>
      </c>
      <c r="K388" s="13"/>
      <c r="L388" s="13"/>
    </row>
    <row r="389" customFormat="false" ht="15" hidden="false" customHeight="false" outlineLevel="0" collapsed="false">
      <c r="A389" s="12"/>
      <c r="B389" s="12"/>
      <c r="C389" s="12"/>
      <c r="D389" s="12"/>
      <c r="E389" s="23"/>
      <c r="F389" s="13"/>
      <c r="G389" s="23"/>
      <c r="H389" s="13"/>
      <c r="I389" s="15" t="str">
        <f aca="false">IF(AND(ISNUMBER(E389),ISNUMBER(G389)),(G389-E389)*1440,"")</f>
        <v/>
      </c>
      <c r="J389" s="13" t="str">
        <f aca="false">IF(E389="","",IF(ISNUMBER(I389),IF(I389&lt;=60,"OK","VIOLADO"),"Sem contacto"))</f>
        <v/>
      </c>
      <c r="K389" s="13"/>
      <c r="L389" s="13"/>
    </row>
    <row r="390" customFormat="false" ht="15" hidden="false" customHeight="false" outlineLevel="0" collapsed="false">
      <c r="A390" s="12"/>
      <c r="B390" s="12"/>
      <c r="C390" s="12"/>
      <c r="D390" s="12"/>
      <c r="E390" s="23"/>
      <c r="F390" s="13"/>
      <c r="G390" s="23"/>
      <c r="H390" s="13"/>
      <c r="I390" s="15" t="str">
        <f aca="false">IF(AND(ISNUMBER(E390),ISNUMBER(G390)),(G390-E390)*1440,"")</f>
        <v/>
      </c>
      <c r="J390" s="13" t="str">
        <f aca="false">IF(E390="","",IF(ISNUMBER(I390),IF(I390&lt;=60,"OK","VIOLADO"),"Sem contacto"))</f>
        <v/>
      </c>
      <c r="K390" s="13"/>
      <c r="L390" s="13"/>
    </row>
    <row r="391" customFormat="false" ht="15" hidden="false" customHeight="false" outlineLevel="0" collapsed="false">
      <c r="A391" s="12"/>
      <c r="B391" s="12"/>
      <c r="C391" s="12"/>
      <c r="D391" s="12"/>
      <c r="E391" s="23"/>
      <c r="F391" s="13"/>
      <c r="G391" s="23"/>
      <c r="H391" s="13"/>
      <c r="I391" s="15" t="str">
        <f aca="false">IF(AND(ISNUMBER(E391),ISNUMBER(G391)),(G391-E391)*1440,"")</f>
        <v/>
      </c>
      <c r="J391" s="13" t="str">
        <f aca="false">IF(E391="","",IF(ISNUMBER(I391),IF(I391&lt;=60,"OK","VIOLADO"),"Sem contacto"))</f>
        <v/>
      </c>
      <c r="K391" s="13"/>
      <c r="L391" s="13"/>
    </row>
    <row r="392" customFormat="false" ht="15" hidden="false" customHeight="false" outlineLevel="0" collapsed="false">
      <c r="A392" s="12"/>
      <c r="B392" s="12"/>
      <c r="C392" s="12"/>
      <c r="D392" s="12"/>
      <c r="E392" s="23"/>
      <c r="F392" s="13"/>
      <c r="G392" s="23"/>
      <c r="H392" s="13"/>
      <c r="I392" s="15" t="str">
        <f aca="false">IF(AND(ISNUMBER(E392),ISNUMBER(G392)),(G392-E392)*1440,"")</f>
        <v/>
      </c>
      <c r="J392" s="13" t="str">
        <f aca="false">IF(E392="","",IF(ISNUMBER(I392),IF(I392&lt;=60,"OK","VIOLADO"),"Sem contacto"))</f>
        <v/>
      </c>
      <c r="K392" s="13"/>
      <c r="L392" s="13"/>
    </row>
    <row r="393" customFormat="false" ht="15" hidden="false" customHeight="false" outlineLevel="0" collapsed="false">
      <c r="A393" s="12"/>
      <c r="B393" s="12"/>
      <c r="C393" s="12"/>
      <c r="D393" s="12"/>
      <c r="E393" s="23"/>
      <c r="F393" s="13"/>
      <c r="G393" s="23"/>
      <c r="H393" s="13"/>
      <c r="I393" s="15" t="str">
        <f aca="false">IF(AND(ISNUMBER(E393),ISNUMBER(G393)),(G393-E393)*1440,"")</f>
        <v/>
      </c>
      <c r="J393" s="13" t="str">
        <f aca="false">IF(E393="","",IF(ISNUMBER(I393),IF(I393&lt;=60,"OK","VIOLADO"),"Sem contacto"))</f>
        <v/>
      </c>
      <c r="K393" s="13"/>
      <c r="L393" s="13"/>
    </row>
    <row r="394" customFormat="false" ht="15" hidden="false" customHeight="false" outlineLevel="0" collapsed="false">
      <c r="A394" s="12"/>
      <c r="B394" s="12"/>
      <c r="C394" s="12"/>
      <c r="D394" s="12"/>
      <c r="E394" s="23"/>
      <c r="F394" s="13"/>
      <c r="G394" s="23"/>
      <c r="H394" s="13"/>
      <c r="I394" s="15" t="str">
        <f aca="false">IF(AND(ISNUMBER(E394),ISNUMBER(G394)),(G394-E394)*1440,"")</f>
        <v/>
      </c>
      <c r="J394" s="13" t="str">
        <f aca="false">IF(E394="","",IF(ISNUMBER(I394),IF(I394&lt;=60,"OK","VIOLADO"),"Sem contacto"))</f>
        <v/>
      </c>
      <c r="K394" s="13"/>
      <c r="L394" s="13"/>
    </row>
    <row r="395" customFormat="false" ht="15" hidden="false" customHeight="false" outlineLevel="0" collapsed="false">
      <c r="A395" s="12"/>
      <c r="B395" s="12"/>
      <c r="C395" s="12"/>
      <c r="D395" s="12"/>
      <c r="E395" s="23"/>
      <c r="F395" s="13"/>
      <c r="G395" s="23"/>
      <c r="H395" s="13"/>
      <c r="I395" s="15" t="str">
        <f aca="false">IF(AND(ISNUMBER(E395),ISNUMBER(G395)),(G395-E395)*1440,"")</f>
        <v/>
      </c>
      <c r="J395" s="13" t="str">
        <f aca="false">IF(E395="","",IF(ISNUMBER(I395),IF(I395&lt;=60,"OK","VIOLADO"),"Sem contacto"))</f>
        <v/>
      </c>
      <c r="K395" s="13"/>
      <c r="L395" s="13"/>
    </row>
    <row r="396" customFormat="false" ht="15" hidden="false" customHeight="false" outlineLevel="0" collapsed="false">
      <c r="A396" s="12"/>
      <c r="B396" s="12"/>
      <c r="C396" s="12"/>
      <c r="D396" s="12"/>
      <c r="E396" s="23"/>
      <c r="F396" s="13"/>
      <c r="G396" s="23"/>
      <c r="H396" s="13"/>
      <c r="I396" s="15" t="str">
        <f aca="false">IF(AND(ISNUMBER(E396),ISNUMBER(G396)),(G396-E396)*1440,"")</f>
        <v/>
      </c>
      <c r="J396" s="13" t="str">
        <f aca="false">IF(E396="","",IF(ISNUMBER(I396),IF(I396&lt;=60,"OK","VIOLADO"),"Sem contacto"))</f>
        <v/>
      </c>
      <c r="K396" s="13"/>
      <c r="L396" s="13"/>
    </row>
    <row r="397" customFormat="false" ht="15" hidden="false" customHeight="false" outlineLevel="0" collapsed="false">
      <c r="A397" s="12"/>
      <c r="B397" s="12"/>
      <c r="C397" s="12"/>
      <c r="D397" s="12"/>
      <c r="E397" s="23"/>
      <c r="F397" s="13"/>
      <c r="G397" s="23"/>
      <c r="H397" s="13"/>
      <c r="I397" s="15" t="str">
        <f aca="false">IF(AND(ISNUMBER(E397),ISNUMBER(G397)),(G397-E397)*1440,"")</f>
        <v/>
      </c>
      <c r="J397" s="13" t="str">
        <f aca="false">IF(E397="","",IF(ISNUMBER(I397),IF(I397&lt;=60,"OK","VIOLADO"),"Sem contacto"))</f>
        <v/>
      </c>
      <c r="K397" s="13"/>
      <c r="L397" s="13"/>
    </row>
    <row r="398" customFormat="false" ht="15" hidden="false" customHeight="false" outlineLevel="0" collapsed="false">
      <c r="A398" s="12"/>
      <c r="B398" s="12"/>
      <c r="C398" s="12"/>
      <c r="D398" s="12"/>
      <c r="E398" s="23"/>
      <c r="F398" s="13"/>
      <c r="G398" s="23"/>
      <c r="H398" s="13"/>
      <c r="I398" s="15" t="str">
        <f aca="false">IF(AND(ISNUMBER(E398),ISNUMBER(G398)),(G398-E398)*1440,"")</f>
        <v/>
      </c>
      <c r="J398" s="13" t="str">
        <f aca="false">IF(E398="","",IF(ISNUMBER(I398),IF(I398&lt;=60,"OK","VIOLADO"),"Sem contacto"))</f>
        <v/>
      </c>
      <c r="K398" s="13"/>
      <c r="L398" s="13"/>
    </row>
    <row r="399" customFormat="false" ht="15" hidden="false" customHeight="false" outlineLevel="0" collapsed="false">
      <c r="A399" s="12"/>
      <c r="B399" s="12"/>
      <c r="C399" s="12"/>
      <c r="D399" s="12"/>
      <c r="E399" s="23"/>
      <c r="F399" s="13"/>
      <c r="G399" s="23"/>
      <c r="H399" s="13"/>
      <c r="I399" s="15" t="str">
        <f aca="false">IF(AND(ISNUMBER(E399),ISNUMBER(G399)),(G399-E399)*1440,"")</f>
        <v/>
      </c>
      <c r="J399" s="13" t="str">
        <f aca="false">IF(E399="","",IF(ISNUMBER(I399),IF(I399&lt;=60,"OK","VIOLADO"),"Sem contacto"))</f>
        <v/>
      </c>
      <c r="K399" s="13"/>
      <c r="L399" s="13"/>
    </row>
    <row r="400" customFormat="false" ht="15" hidden="false" customHeight="false" outlineLevel="0" collapsed="false">
      <c r="A400" s="12"/>
      <c r="B400" s="12"/>
      <c r="C400" s="12"/>
      <c r="D400" s="12"/>
      <c r="E400" s="23"/>
      <c r="F400" s="13"/>
      <c r="G400" s="23"/>
      <c r="H400" s="13"/>
      <c r="I400" s="15" t="str">
        <f aca="false">IF(AND(ISNUMBER(E400),ISNUMBER(G400)),(G400-E400)*1440,"")</f>
        <v/>
      </c>
      <c r="J400" s="13" t="str">
        <f aca="false">IF(E400="","",IF(ISNUMBER(I400),IF(I400&lt;=60,"OK","VIOLADO"),"Sem contacto"))</f>
        <v/>
      </c>
      <c r="K400" s="13"/>
      <c r="L400" s="13"/>
    </row>
    <row r="401" customFormat="false" ht="15" hidden="false" customHeight="false" outlineLevel="0" collapsed="false">
      <c r="A401" s="12"/>
      <c r="B401" s="12"/>
      <c r="C401" s="12"/>
      <c r="D401" s="12"/>
      <c r="E401" s="23"/>
      <c r="F401" s="13"/>
      <c r="G401" s="23"/>
      <c r="H401" s="13"/>
      <c r="I401" s="15" t="str">
        <f aca="false">IF(AND(ISNUMBER(E401),ISNUMBER(G401)),(G401-E401)*1440,"")</f>
        <v/>
      </c>
      <c r="J401" s="13" t="str">
        <f aca="false">IF(E401="","",IF(ISNUMBER(I401),IF(I401&lt;=60,"OK","VIOLADO"),"Sem contacto"))</f>
        <v/>
      </c>
      <c r="K401" s="13"/>
      <c r="L401" s="13"/>
    </row>
    <row r="402" customFormat="false" ht="15" hidden="false" customHeight="false" outlineLevel="0" collapsed="false">
      <c r="A402" s="12"/>
      <c r="B402" s="12"/>
      <c r="C402" s="12"/>
      <c r="D402" s="12"/>
      <c r="E402" s="23"/>
      <c r="F402" s="13"/>
      <c r="G402" s="23"/>
      <c r="H402" s="13"/>
      <c r="I402" s="15" t="str">
        <f aca="false">IF(AND(ISNUMBER(E402),ISNUMBER(G402)),(G402-E402)*1440,"")</f>
        <v/>
      </c>
      <c r="J402" s="13" t="str">
        <f aca="false">IF(E402="","",IF(ISNUMBER(I402),IF(I402&lt;=60,"OK","VIOLADO"),"Sem contacto"))</f>
        <v/>
      </c>
      <c r="K402" s="13"/>
      <c r="L402" s="13"/>
    </row>
    <row r="403" customFormat="false" ht="15" hidden="false" customHeight="false" outlineLevel="0" collapsed="false">
      <c r="A403" s="12"/>
      <c r="B403" s="12"/>
      <c r="C403" s="12"/>
      <c r="D403" s="12"/>
      <c r="E403" s="23"/>
      <c r="F403" s="13"/>
      <c r="G403" s="23"/>
      <c r="H403" s="13"/>
      <c r="I403" s="15" t="str">
        <f aca="false">IF(AND(ISNUMBER(E403),ISNUMBER(G403)),(G403-E403)*1440,"")</f>
        <v/>
      </c>
      <c r="J403" s="13" t="str">
        <f aca="false">IF(E403="","",IF(ISNUMBER(I403),IF(I403&lt;=60,"OK","VIOLADO"),"Sem contacto"))</f>
        <v/>
      </c>
      <c r="K403" s="13"/>
      <c r="L403" s="13"/>
    </row>
    <row r="404" customFormat="false" ht="15" hidden="false" customHeight="false" outlineLevel="0" collapsed="false">
      <c r="A404" s="12"/>
      <c r="B404" s="12"/>
      <c r="C404" s="12"/>
      <c r="D404" s="12"/>
      <c r="E404" s="23"/>
      <c r="F404" s="13"/>
      <c r="G404" s="23"/>
      <c r="H404" s="13"/>
      <c r="I404" s="15" t="str">
        <f aca="false">IF(AND(ISNUMBER(E404),ISNUMBER(G404)),(G404-E404)*1440,"")</f>
        <v/>
      </c>
      <c r="J404" s="13" t="str">
        <f aca="false">IF(E404="","",IF(ISNUMBER(I404),IF(I404&lt;=60,"OK","VIOLADO"),"Sem contacto"))</f>
        <v/>
      </c>
      <c r="K404" s="13"/>
      <c r="L404" s="13"/>
    </row>
    <row r="405" customFormat="false" ht="15" hidden="false" customHeight="false" outlineLevel="0" collapsed="false">
      <c r="A405" s="12"/>
      <c r="B405" s="12"/>
      <c r="C405" s="12"/>
      <c r="D405" s="12"/>
      <c r="E405" s="23"/>
      <c r="F405" s="13"/>
      <c r="G405" s="23"/>
      <c r="H405" s="13"/>
      <c r="I405" s="15" t="str">
        <f aca="false">IF(AND(ISNUMBER(E405),ISNUMBER(G405)),(G405-E405)*1440,"")</f>
        <v/>
      </c>
      <c r="J405" s="13" t="str">
        <f aca="false">IF(E405="","",IF(ISNUMBER(I405),IF(I405&lt;=60,"OK","VIOLADO"),"Sem contacto"))</f>
        <v/>
      </c>
      <c r="K405" s="13"/>
      <c r="L405" s="13"/>
    </row>
    <row r="406" customFormat="false" ht="15" hidden="false" customHeight="false" outlineLevel="0" collapsed="false">
      <c r="A406" s="12"/>
      <c r="B406" s="12"/>
      <c r="C406" s="12"/>
      <c r="D406" s="12"/>
      <c r="E406" s="23"/>
      <c r="F406" s="13"/>
      <c r="G406" s="23"/>
      <c r="H406" s="13"/>
      <c r="I406" s="15" t="str">
        <f aca="false">IF(AND(ISNUMBER(E406),ISNUMBER(G406)),(G406-E406)*1440,"")</f>
        <v/>
      </c>
      <c r="J406" s="13" t="str">
        <f aca="false">IF(E406="","",IF(ISNUMBER(I406),IF(I406&lt;=60,"OK","VIOLADO"),"Sem contacto"))</f>
        <v/>
      </c>
      <c r="K406" s="13"/>
      <c r="L406" s="13"/>
    </row>
    <row r="407" customFormat="false" ht="15" hidden="false" customHeight="false" outlineLevel="0" collapsed="false">
      <c r="A407" s="12"/>
      <c r="B407" s="12"/>
      <c r="C407" s="12"/>
      <c r="D407" s="12"/>
      <c r="E407" s="23"/>
      <c r="F407" s="13"/>
      <c r="G407" s="23"/>
      <c r="H407" s="13"/>
      <c r="I407" s="15" t="str">
        <f aca="false">IF(AND(ISNUMBER(E407),ISNUMBER(G407)),(G407-E407)*1440,"")</f>
        <v/>
      </c>
      <c r="J407" s="13" t="str">
        <f aca="false">IF(E407="","",IF(ISNUMBER(I407),IF(I407&lt;=60,"OK","VIOLADO"),"Sem contacto"))</f>
        <v/>
      </c>
      <c r="K407" s="13"/>
      <c r="L407" s="13"/>
    </row>
    <row r="408" customFormat="false" ht="15" hidden="false" customHeight="false" outlineLevel="0" collapsed="false">
      <c r="A408" s="12"/>
      <c r="B408" s="12"/>
      <c r="C408" s="12"/>
      <c r="D408" s="12"/>
      <c r="E408" s="23"/>
      <c r="F408" s="13"/>
      <c r="G408" s="23"/>
      <c r="H408" s="13"/>
      <c r="I408" s="15" t="str">
        <f aca="false">IF(AND(ISNUMBER(E408),ISNUMBER(G408)),(G408-E408)*1440,"")</f>
        <v/>
      </c>
      <c r="J408" s="13" t="str">
        <f aca="false">IF(E408="","",IF(ISNUMBER(I408),IF(I408&lt;=60,"OK","VIOLADO"),"Sem contacto"))</f>
        <v/>
      </c>
      <c r="K408" s="13"/>
      <c r="L408" s="13"/>
    </row>
    <row r="409" customFormat="false" ht="15" hidden="false" customHeight="false" outlineLevel="0" collapsed="false">
      <c r="A409" s="12"/>
      <c r="B409" s="12"/>
      <c r="C409" s="12"/>
      <c r="D409" s="12"/>
      <c r="E409" s="23"/>
      <c r="F409" s="13"/>
      <c r="G409" s="23"/>
      <c r="H409" s="13"/>
      <c r="I409" s="15" t="str">
        <f aca="false">IF(AND(ISNUMBER(E409),ISNUMBER(G409)),(G409-E409)*1440,"")</f>
        <v/>
      </c>
      <c r="J409" s="13" t="str">
        <f aca="false">IF(E409="","",IF(ISNUMBER(I409),IF(I409&lt;=60,"OK","VIOLADO"),"Sem contacto"))</f>
        <v/>
      </c>
      <c r="K409" s="13"/>
      <c r="L409" s="13"/>
    </row>
    <row r="410" customFormat="false" ht="15" hidden="false" customHeight="false" outlineLevel="0" collapsed="false">
      <c r="A410" s="12"/>
      <c r="B410" s="12"/>
      <c r="C410" s="12"/>
      <c r="D410" s="12"/>
      <c r="E410" s="23"/>
      <c r="F410" s="13"/>
      <c r="G410" s="23"/>
      <c r="H410" s="13"/>
      <c r="I410" s="15" t="str">
        <f aca="false">IF(AND(ISNUMBER(E410),ISNUMBER(G410)),(G410-E410)*1440,"")</f>
        <v/>
      </c>
      <c r="J410" s="13" t="str">
        <f aca="false">IF(E410="","",IF(ISNUMBER(I410),IF(I410&lt;=60,"OK","VIOLADO"),"Sem contacto"))</f>
        <v/>
      </c>
      <c r="K410" s="13"/>
      <c r="L410" s="13"/>
    </row>
    <row r="411" customFormat="false" ht="15" hidden="false" customHeight="false" outlineLevel="0" collapsed="false">
      <c r="A411" s="12"/>
      <c r="B411" s="12"/>
      <c r="C411" s="12"/>
      <c r="D411" s="12"/>
      <c r="E411" s="23"/>
      <c r="F411" s="13"/>
      <c r="G411" s="23"/>
      <c r="H411" s="13"/>
      <c r="I411" s="15" t="str">
        <f aca="false">IF(AND(ISNUMBER(E411),ISNUMBER(G411)),(G411-E411)*1440,"")</f>
        <v/>
      </c>
      <c r="J411" s="13" t="str">
        <f aca="false">IF(E411="","",IF(ISNUMBER(I411),IF(I411&lt;=60,"OK","VIOLADO"),"Sem contacto"))</f>
        <v/>
      </c>
      <c r="K411" s="13"/>
      <c r="L411" s="13"/>
    </row>
    <row r="412" customFormat="false" ht="15" hidden="false" customHeight="false" outlineLevel="0" collapsed="false">
      <c r="A412" s="12"/>
      <c r="B412" s="12"/>
      <c r="C412" s="12"/>
      <c r="D412" s="12"/>
      <c r="E412" s="23"/>
      <c r="F412" s="13"/>
      <c r="G412" s="23"/>
      <c r="H412" s="13"/>
      <c r="I412" s="15" t="str">
        <f aca="false">IF(AND(ISNUMBER(E412),ISNUMBER(G412)),(G412-E412)*1440,"")</f>
        <v/>
      </c>
      <c r="J412" s="13" t="str">
        <f aca="false">IF(E412="","",IF(ISNUMBER(I412),IF(I412&lt;=60,"OK","VIOLADO"),"Sem contacto"))</f>
        <v/>
      </c>
      <c r="K412" s="13"/>
      <c r="L412" s="13"/>
    </row>
    <row r="413" customFormat="false" ht="15" hidden="false" customHeight="false" outlineLevel="0" collapsed="false">
      <c r="A413" s="12"/>
      <c r="B413" s="12"/>
      <c r="C413" s="12"/>
      <c r="D413" s="12"/>
      <c r="E413" s="23"/>
      <c r="F413" s="13"/>
      <c r="G413" s="23"/>
      <c r="H413" s="13"/>
      <c r="I413" s="15" t="str">
        <f aca="false">IF(AND(ISNUMBER(E413),ISNUMBER(G413)),(G413-E413)*1440,"")</f>
        <v/>
      </c>
      <c r="J413" s="13" t="str">
        <f aca="false">IF(E413="","",IF(ISNUMBER(I413),IF(I413&lt;=60,"OK","VIOLADO"),"Sem contacto"))</f>
        <v/>
      </c>
      <c r="K413" s="13"/>
      <c r="L413" s="13"/>
    </row>
    <row r="414" customFormat="false" ht="15" hidden="false" customHeight="false" outlineLevel="0" collapsed="false">
      <c r="A414" s="12"/>
      <c r="B414" s="12"/>
      <c r="C414" s="12"/>
      <c r="D414" s="12"/>
      <c r="E414" s="23"/>
      <c r="F414" s="13"/>
      <c r="G414" s="23"/>
      <c r="H414" s="13"/>
      <c r="I414" s="15" t="str">
        <f aca="false">IF(AND(ISNUMBER(E414),ISNUMBER(G414)),(G414-E414)*1440,"")</f>
        <v/>
      </c>
      <c r="J414" s="13" t="str">
        <f aca="false">IF(E414="","",IF(ISNUMBER(I414),IF(I414&lt;=60,"OK","VIOLADO"),"Sem contacto"))</f>
        <v/>
      </c>
      <c r="K414" s="13"/>
      <c r="L414" s="13"/>
    </row>
    <row r="415" customFormat="false" ht="15" hidden="false" customHeight="false" outlineLevel="0" collapsed="false">
      <c r="A415" s="12"/>
      <c r="B415" s="12"/>
      <c r="C415" s="12"/>
      <c r="D415" s="12"/>
      <c r="E415" s="23"/>
      <c r="F415" s="13"/>
      <c r="G415" s="23"/>
      <c r="H415" s="13"/>
      <c r="I415" s="15" t="str">
        <f aca="false">IF(AND(ISNUMBER(E415),ISNUMBER(G415)),(G415-E415)*1440,"")</f>
        <v/>
      </c>
      <c r="J415" s="13" t="str">
        <f aca="false">IF(E415="","",IF(ISNUMBER(I415),IF(I415&lt;=60,"OK","VIOLADO"),"Sem contacto"))</f>
        <v/>
      </c>
      <c r="K415" s="13"/>
      <c r="L415" s="13"/>
    </row>
    <row r="416" customFormat="false" ht="15" hidden="false" customHeight="false" outlineLevel="0" collapsed="false">
      <c r="A416" s="12"/>
      <c r="B416" s="12"/>
      <c r="C416" s="12"/>
      <c r="D416" s="12"/>
      <c r="E416" s="23"/>
      <c r="F416" s="13"/>
      <c r="G416" s="23"/>
      <c r="H416" s="13"/>
      <c r="I416" s="15" t="str">
        <f aca="false">IF(AND(ISNUMBER(E416),ISNUMBER(G416)),(G416-E416)*1440,"")</f>
        <v/>
      </c>
      <c r="J416" s="13" t="str">
        <f aca="false">IF(E416="","",IF(ISNUMBER(I416),IF(I416&lt;=60,"OK","VIOLADO"),"Sem contacto"))</f>
        <v/>
      </c>
      <c r="K416" s="13"/>
      <c r="L416" s="13"/>
    </row>
    <row r="417" customFormat="false" ht="15" hidden="false" customHeight="false" outlineLevel="0" collapsed="false">
      <c r="A417" s="12"/>
      <c r="B417" s="12"/>
      <c r="C417" s="12"/>
      <c r="D417" s="12"/>
      <c r="E417" s="23"/>
      <c r="F417" s="13"/>
      <c r="G417" s="23"/>
      <c r="H417" s="13"/>
      <c r="I417" s="15" t="str">
        <f aca="false">IF(AND(ISNUMBER(E417),ISNUMBER(G417)),(G417-E417)*1440,"")</f>
        <v/>
      </c>
      <c r="J417" s="13" t="str">
        <f aca="false">IF(E417="","",IF(ISNUMBER(I417),IF(I417&lt;=60,"OK","VIOLADO"),"Sem contacto"))</f>
        <v/>
      </c>
      <c r="K417" s="13"/>
      <c r="L417" s="13"/>
    </row>
    <row r="418" customFormat="false" ht="15" hidden="false" customHeight="false" outlineLevel="0" collapsed="false">
      <c r="A418" s="12"/>
      <c r="B418" s="12"/>
      <c r="C418" s="12"/>
      <c r="D418" s="12"/>
      <c r="E418" s="23"/>
      <c r="F418" s="13"/>
      <c r="G418" s="23"/>
      <c r="H418" s="13"/>
      <c r="I418" s="15" t="str">
        <f aca="false">IF(AND(ISNUMBER(E418),ISNUMBER(G418)),(G418-E418)*1440,"")</f>
        <v/>
      </c>
      <c r="J418" s="13" t="str">
        <f aca="false">IF(E418="","",IF(ISNUMBER(I418),IF(I418&lt;=60,"OK","VIOLADO"),"Sem contacto"))</f>
        <v/>
      </c>
      <c r="K418" s="13"/>
      <c r="L418" s="13"/>
    </row>
    <row r="419" customFormat="false" ht="15" hidden="false" customHeight="false" outlineLevel="0" collapsed="false">
      <c r="A419" s="12"/>
      <c r="B419" s="12"/>
      <c r="C419" s="12"/>
      <c r="D419" s="12"/>
      <c r="E419" s="23"/>
      <c r="F419" s="13"/>
      <c r="G419" s="23"/>
      <c r="H419" s="13"/>
      <c r="I419" s="15" t="str">
        <f aca="false">IF(AND(ISNUMBER(E419),ISNUMBER(G419)),(G419-E419)*1440,"")</f>
        <v/>
      </c>
      <c r="J419" s="13" t="str">
        <f aca="false">IF(E419="","",IF(ISNUMBER(I419),IF(I419&lt;=60,"OK","VIOLADO"),"Sem contacto"))</f>
        <v/>
      </c>
      <c r="K419" s="13"/>
      <c r="L419" s="13"/>
    </row>
    <row r="420" customFormat="false" ht="15" hidden="false" customHeight="false" outlineLevel="0" collapsed="false">
      <c r="A420" s="12"/>
      <c r="B420" s="12"/>
      <c r="C420" s="12"/>
      <c r="D420" s="12"/>
      <c r="E420" s="23"/>
      <c r="F420" s="13"/>
      <c r="G420" s="23"/>
      <c r="H420" s="13"/>
      <c r="I420" s="15" t="str">
        <f aca="false">IF(AND(ISNUMBER(E420),ISNUMBER(G420)),(G420-E420)*1440,"")</f>
        <v/>
      </c>
      <c r="J420" s="13" t="str">
        <f aca="false">IF(E420="","",IF(ISNUMBER(I420),IF(I420&lt;=60,"OK","VIOLADO"),"Sem contacto"))</f>
        <v/>
      </c>
      <c r="K420" s="13"/>
      <c r="L420" s="13"/>
    </row>
    <row r="421" customFormat="false" ht="15" hidden="false" customHeight="false" outlineLevel="0" collapsed="false">
      <c r="A421" s="12"/>
      <c r="B421" s="12"/>
      <c r="C421" s="12"/>
      <c r="D421" s="12"/>
      <c r="E421" s="23"/>
      <c r="F421" s="13"/>
      <c r="G421" s="23"/>
      <c r="H421" s="13"/>
      <c r="I421" s="15" t="str">
        <f aca="false">IF(AND(ISNUMBER(E421),ISNUMBER(G421)),(G421-E421)*1440,"")</f>
        <v/>
      </c>
      <c r="J421" s="13" t="str">
        <f aca="false">IF(E421="","",IF(ISNUMBER(I421),IF(I421&lt;=60,"OK","VIOLADO"),"Sem contacto"))</f>
        <v/>
      </c>
      <c r="K421" s="13"/>
      <c r="L421" s="13"/>
    </row>
    <row r="422" customFormat="false" ht="15" hidden="false" customHeight="false" outlineLevel="0" collapsed="false">
      <c r="A422" s="12"/>
      <c r="B422" s="12"/>
      <c r="C422" s="12"/>
      <c r="D422" s="12"/>
      <c r="E422" s="23"/>
      <c r="F422" s="13"/>
      <c r="G422" s="23"/>
      <c r="H422" s="13"/>
      <c r="I422" s="15" t="str">
        <f aca="false">IF(AND(ISNUMBER(E422),ISNUMBER(G422)),(G422-E422)*1440,"")</f>
        <v/>
      </c>
      <c r="J422" s="13" t="str">
        <f aca="false">IF(E422="","",IF(ISNUMBER(I422),IF(I422&lt;=60,"OK","VIOLADO"),"Sem contacto"))</f>
        <v/>
      </c>
      <c r="K422" s="13"/>
      <c r="L422" s="13"/>
    </row>
    <row r="423" customFormat="false" ht="15" hidden="false" customHeight="false" outlineLevel="0" collapsed="false">
      <c r="A423" s="12"/>
      <c r="B423" s="12"/>
      <c r="C423" s="12"/>
      <c r="D423" s="12"/>
      <c r="E423" s="23"/>
      <c r="F423" s="13"/>
      <c r="G423" s="23"/>
      <c r="H423" s="13"/>
      <c r="I423" s="15" t="str">
        <f aca="false">IF(AND(ISNUMBER(E423),ISNUMBER(G423)),(G423-E423)*1440,"")</f>
        <v/>
      </c>
      <c r="J423" s="13" t="str">
        <f aca="false">IF(E423="","",IF(ISNUMBER(I423),IF(I423&lt;=60,"OK","VIOLADO"),"Sem contacto"))</f>
        <v/>
      </c>
      <c r="K423" s="13"/>
      <c r="L423" s="13"/>
    </row>
    <row r="424" customFormat="false" ht="15" hidden="false" customHeight="false" outlineLevel="0" collapsed="false">
      <c r="A424" s="12"/>
      <c r="B424" s="12"/>
      <c r="C424" s="12"/>
      <c r="D424" s="12"/>
      <c r="E424" s="23"/>
      <c r="F424" s="13"/>
      <c r="G424" s="23"/>
      <c r="H424" s="13"/>
      <c r="I424" s="15" t="str">
        <f aca="false">IF(AND(ISNUMBER(E424),ISNUMBER(G424)),(G424-E424)*1440,"")</f>
        <v/>
      </c>
      <c r="J424" s="13" t="str">
        <f aca="false">IF(E424="","",IF(ISNUMBER(I424),IF(I424&lt;=60,"OK","VIOLADO"),"Sem contacto"))</f>
        <v/>
      </c>
      <c r="K424" s="13"/>
      <c r="L424" s="13"/>
    </row>
    <row r="425" customFormat="false" ht="15" hidden="false" customHeight="false" outlineLevel="0" collapsed="false">
      <c r="A425" s="12"/>
      <c r="B425" s="12"/>
      <c r="C425" s="12"/>
      <c r="D425" s="12"/>
      <c r="E425" s="23"/>
      <c r="F425" s="13"/>
      <c r="G425" s="23"/>
      <c r="H425" s="13"/>
      <c r="I425" s="15" t="str">
        <f aca="false">IF(AND(ISNUMBER(E425),ISNUMBER(G425)),(G425-E425)*1440,"")</f>
        <v/>
      </c>
      <c r="J425" s="13" t="str">
        <f aca="false">IF(E425="","",IF(ISNUMBER(I425),IF(I425&lt;=60,"OK","VIOLADO"),"Sem contacto"))</f>
        <v/>
      </c>
      <c r="K425" s="13"/>
      <c r="L425" s="13"/>
    </row>
    <row r="426" customFormat="false" ht="15" hidden="false" customHeight="false" outlineLevel="0" collapsed="false">
      <c r="A426" s="12"/>
      <c r="B426" s="12"/>
      <c r="C426" s="12"/>
      <c r="D426" s="12"/>
      <c r="E426" s="23"/>
      <c r="F426" s="13"/>
      <c r="G426" s="23"/>
      <c r="H426" s="13"/>
      <c r="I426" s="15" t="str">
        <f aca="false">IF(AND(ISNUMBER(E426),ISNUMBER(G426)),(G426-E426)*1440,"")</f>
        <v/>
      </c>
      <c r="J426" s="13" t="str">
        <f aca="false">IF(E426="","",IF(ISNUMBER(I426),IF(I426&lt;=60,"OK","VIOLADO"),"Sem contacto"))</f>
        <v/>
      </c>
      <c r="K426" s="13"/>
      <c r="L426" s="13"/>
    </row>
    <row r="427" customFormat="false" ht="15" hidden="false" customHeight="false" outlineLevel="0" collapsed="false">
      <c r="A427" s="12"/>
      <c r="B427" s="12"/>
      <c r="C427" s="12"/>
      <c r="D427" s="12"/>
      <c r="E427" s="23"/>
      <c r="F427" s="13"/>
      <c r="G427" s="23"/>
      <c r="H427" s="13"/>
      <c r="I427" s="15" t="str">
        <f aca="false">IF(AND(ISNUMBER(E427),ISNUMBER(G427)),(G427-E427)*1440,"")</f>
        <v/>
      </c>
      <c r="J427" s="13" t="str">
        <f aca="false">IF(E427="","",IF(ISNUMBER(I427),IF(I427&lt;=60,"OK","VIOLADO"),"Sem contacto"))</f>
        <v/>
      </c>
      <c r="K427" s="13"/>
      <c r="L427" s="13"/>
    </row>
    <row r="428" customFormat="false" ht="15" hidden="false" customHeight="false" outlineLevel="0" collapsed="false">
      <c r="A428" s="12"/>
      <c r="B428" s="12"/>
      <c r="C428" s="12"/>
      <c r="D428" s="12"/>
      <c r="E428" s="23"/>
      <c r="F428" s="13"/>
      <c r="G428" s="23"/>
      <c r="H428" s="13"/>
      <c r="I428" s="15" t="str">
        <f aca="false">IF(AND(ISNUMBER(E428),ISNUMBER(G428)),(G428-E428)*1440,"")</f>
        <v/>
      </c>
      <c r="J428" s="13" t="str">
        <f aca="false">IF(E428="","",IF(ISNUMBER(I428),IF(I428&lt;=60,"OK","VIOLADO"),"Sem contacto"))</f>
        <v/>
      </c>
      <c r="K428" s="13"/>
      <c r="L428" s="13"/>
    </row>
    <row r="429" customFormat="false" ht="15" hidden="false" customHeight="false" outlineLevel="0" collapsed="false">
      <c r="A429" s="12"/>
      <c r="B429" s="12"/>
      <c r="C429" s="12"/>
      <c r="D429" s="12"/>
      <c r="E429" s="23"/>
      <c r="F429" s="13"/>
      <c r="G429" s="23"/>
      <c r="H429" s="13"/>
      <c r="I429" s="15" t="str">
        <f aca="false">IF(AND(ISNUMBER(E429),ISNUMBER(G429)),(G429-E429)*1440,"")</f>
        <v/>
      </c>
      <c r="J429" s="13" t="str">
        <f aca="false">IF(E429="","",IF(ISNUMBER(I429),IF(I429&lt;=60,"OK","VIOLADO"),"Sem contacto"))</f>
        <v/>
      </c>
      <c r="K429" s="13"/>
      <c r="L429" s="13"/>
    </row>
    <row r="430" customFormat="false" ht="15" hidden="false" customHeight="false" outlineLevel="0" collapsed="false">
      <c r="A430" s="12"/>
      <c r="B430" s="12"/>
      <c r="C430" s="12"/>
      <c r="D430" s="12"/>
      <c r="E430" s="23"/>
      <c r="F430" s="13"/>
      <c r="G430" s="23"/>
      <c r="H430" s="13"/>
      <c r="I430" s="15" t="str">
        <f aca="false">IF(AND(ISNUMBER(E430),ISNUMBER(G430)),(G430-E430)*1440,"")</f>
        <v/>
      </c>
      <c r="J430" s="13" t="str">
        <f aca="false">IF(E430="","",IF(ISNUMBER(I430),IF(I430&lt;=60,"OK","VIOLADO"),"Sem contacto"))</f>
        <v/>
      </c>
      <c r="K430" s="13"/>
      <c r="L430" s="13"/>
    </row>
    <row r="431" customFormat="false" ht="15" hidden="false" customHeight="false" outlineLevel="0" collapsed="false">
      <c r="A431" s="12"/>
      <c r="B431" s="12"/>
      <c r="C431" s="12"/>
      <c r="D431" s="12"/>
      <c r="E431" s="23"/>
      <c r="F431" s="13"/>
      <c r="G431" s="23"/>
      <c r="H431" s="13"/>
      <c r="I431" s="15" t="str">
        <f aca="false">IF(AND(ISNUMBER(E431),ISNUMBER(G431)),(G431-E431)*1440,"")</f>
        <v/>
      </c>
      <c r="J431" s="13" t="str">
        <f aca="false">IF(E431="","",IF(ISNUMBER(I431),IF(I431&lt;=60,"OK","VIOLADO"),"Sem contacto"))</f>
        <v/>
      </c>
      <c r="K431" s="13"/>
      <c r="L431" s="13"/>
    </row>
    <row r="432" customFormat="false" ht="15" hidden="false" customHeight="false" outlineLevel="0" collapsed="false">
      <c r="A432" s="12"/>
      <c r="B432" s="12"/>
      <c r="C432" s="12"/>
      <c r="D432" s="12"/>
      <c r="E432" s="23"/>
      <c r="F432" s="13"/>
      <c r="G432" s="23"/>
      <c r="H432" s="13"/>
      <c r="I432" s="15" t="str">
        <f aca="false">IF(AND(ISNUMBER(E432),ISNUMBER(G432)),(G432-E432)*1440,"")</f>
        <v/>
      </c>
      <c r="J432" s="13" t="str">
        <f aca="false">IF(E432="","",IF(ISNUMBER(I432),IF(I432&lt;=60,"OK","VIOLADO"),"Sem contacto"))</f>
        <v/>
      </c>
      <c r="K432" s="13"/>
      <c r="L432" s="13"/>
    </row>
    <row r="433" customFormat="false" ht="15" hidden="false" customHeight="false" outlineLevel="0" collapsed="false">
      <c r="A433" s="12"/>
      <c r="B433" s="12"/>
      <c r="C433" s="12"/>
      <c r="D433" s="12"/>
      <c r="E433" s="23"/>
      <c r="F433" s="13"/>
      <c r="G433" s="23"/>
      <c r="H433" s="13"/>
      <c r="I433" s="15" t="str">
        <f aca="false">IF(AND(ISNUMBER(E433),ISNUMBER(G433)),(G433-E433)*1440,"")</f>
        <v/>
      </c>
      <c r="J433" s="13" t="str">
        <f aca="false">IF(E433="","",IF(ISNUMBER(I433),IF(I433&lt;=60,"OK","VIOLADO"),"Sem contacto"))</f>
        <v/>
      </c>
      <c r="K433" s="13"/>
      <c r="L433" s="13"/>
    </row>
    <row r="434" customFormat="false" ht="15" hidden="false" customHeight="false" outlineLevel="0" collapsed="false">
      <c r="A434" s="12"/>
      <c r="B434" s="12"/>
      <c r="C434" s="12"/>
      <c r="D434" s="12"/>
      <c r="E434" s="23"/>
      <c r="F434" s="13"/>
      <c r="G434" s="23"/>
      <c r="H434" s="13"/>
      <c r="I434" s="15" t="str">
        <f aca="false">IF(AND(ISNUMBER(E434),ISNUMBER(G434)),(G434-E434)*1440,"")</f>
        <v/>
      </c>
      <c r="J434" s="13" t="str">
        <f aca="false">IF(E434="","",IF(ISNUMBER(I434),IF(I434&lt;=60,"OK","VIOLADO"),"Sem contacto"))</f>
        <v/>
      </c>
      <c r="K434" s="13"/>
      <c r="L434" s="13"/>
    </row>
    <row r="435" customFormat="false" ht="15" hidden="false" customHeight="false" outlineLevel="0" collapsed="false">
      <c r="A435" s="12"/>
      <c r="B435" s="12"/>
      <c r="C435" s="12"/>
      <c r="D435" s="12"/>
      <c r="E435" s="23"/>
      <c r="F435" s="13"/>
      <c r="G435" s="23"/>
      <c r="H435" s="13"/>
      <c r="I435" s="15" t="str">
        <f aca="false">IF(AND(ISNUMBER(E435),ISNUMBER(G435)),(G435-E435)*1440,"")</f>
        <v/>
      </c>
      <c r="J435" s="13" t="str">
        <f aca="false">IF(E435="","",IF(ISNUMBER(I435),IF(I435&lt;=60,"OK","VIOLADO"),"Sem contacto"))</f>
        <v/>
      </c>
      <c r="K435" s="13"/>
      <c r="L435" s="13"/>
    </row>
    <row r="436" customFormat="false" ht="15" hidden="false" customHeight="false" outlineLevel="0" collapsed="false">
      <c r="A436" s="12"/>
      <c r="B436" s="12"/>
      <c r="C436" s="12"/>
      <c r="D436" s="12"/>
      <c r="E436" s="23"/>
      <c r="F436" s="13"/>
      <c r="G436" s="23"/>
      <c r="H436" s="13"/>
      <c r="I436" s="15" t="str">
        <f aca="false">IF(AND(ISNUMBER(E436),ISNUMBER(G436)),(G436-E436)*1440,"")</f>
        <v/>
      </c>
      <c r="J436" s="13" t="str">
        <f aca="false">IF(E436="","",IF(ISNUMBER(I436),IF(I436&lt;=60,"OK","VIOLADO"),"Sem contacto"))</f>
        <v/>
      </c>
      <c r="K436" s="13"/>
      <c r="L436" s="13"/>
    </row>
    <row r="437" customFormat="false" ht="15" hidden="false" customHeight="false" outlineLevel="0" collapsed="false">
      <c r="A437" s="12"/>
      <c r="B437" s="12"/>
      <c r="C437" s="12"/>
      <c r="D437" s="12"/>
      <c r="E437" s="23"/>
      <c r="F437" s="13"/>
      <c r="G437" s="23"/>
      <c r="H437" s="13"/>
      <c r="I437" s="15" t="str">
        <f aca="false">IF(AND(ISNUMBER(E437),ISNUMBER(G437)),(G437-E437)*1440,"")</f>
        <v/>
      </c>
      <c r="J437" s="13" t="str">
        <f aca="false">IF(E437="","",IF(ISNUMBER(I437),IF(I437&lt;=60,"OK","VIOLADO"),"Sem contacto"))</f>
        <v/>
      </c>
      <c r="K437" s="13"/>
      <c r="L437" s="13"/>
    </row>
    <row r="438" customFormat="false" ht="15" hidden="false" customHeight="false" outlineLevel="0" collapsed="false">
      <c r="A438" s="12"/>
      <c r="B438" s="12"/>
      <c r="C438" s="12"/>
      <c r="D438" s="12"/>
      <c r="E438" s="23"/>
      <c r="F438" s="13"/>
      <c r="G438" s="23"/>
      <c r="H438" s="13"/>
      <c r="I438" s="15" t="str">
        <f aca="false">IF(AND(ISNUMBER(E438),ISNUMBER(G438)),(G438-E438)*1440,"")</f>
        <v/>
      </c>
      <c r="J438" s="13" t="str">
        <f aca="false">IF(E438="","",IF(ISNUMBER(I438),IF(I438&lt;=60,"OK","VIOLADO"),"Sem contacto"))</f>
        <v/>
      </c>
      <c r="K438" s="13"/>
      <c r="L438" s="13"/>
    </row>
    <row r="439" customFormat="false" ht="15" hidden="false" customHeight="false" outlineLevel="0" collapsed="false">
      <c r="A439" s="12"/>
      <c r="B439" s="12"/>
      <c r="C439" s="12"/>
      <c r="D439" s="12"/>
      <c r="E439" s="23"/>
      <c r="F439" s="13"/>
      <c r="G439" s="23"/>
      <c r="H439" s="13"/>
      <c r="I439" s="15" t="str">
        <f aca="false">IF(AND(ISNUMBER(E439),ISNUMBER(G439)),(G439-E439)*1440,"")</f>
        <v/>
      </c>
      <c r="J439" s="13" t="str">
        <f aca="false">IF(E439="","",IF(ISNUMBER(I439),IF(I439&lt;=60,"OK","VIOLADO"),"Sem contacto"))</f>
        <v/>
      </c>
      <c r="K439" s="13"/>
      <c r="L439" s="13"/>
    </row>
    <row r="440" customFormat="false" ht="15" hidden="false" customHeight="false" outlineLevel="0" collapsed="false">
      <c r="A440" s="12"/>
      <c r="B440" s="12"/>
      <c r="C440" s="12"/>
      <c r="D440" s="12"/>
      <c r="E440" s="23"/>
      <c r="F440" s="13"/>
      <c r="G440" s="23"/>
      <c r="H440" s="13"/>
      <c r="I440" s="15" t="str">
        <f aca="false">IF(AND(ISNUMBER(E440),ISNUMBER(G440)),(G440-E440)*1440,"")</f>
        <v/>
      </c>
      <c r="J440" s="13" t="str">
        <f aca="false">IF(E440="","",IF(ISNUMBER(I440),IF(I440&lt;=60,"OK","VIOLADO"),"Sem contacto"))</f>
        <v/>
      </c>
      <c r="K440" s="13"/>
      <c r="L440" s="13"/>
    </row>
    <row r="441" customFormat="false" ht="15" hidden="false" customHeight="false" outlineLevel="0" collapsed="false">
      <c r="A441" s="12"/>
      <c r="B441" s="12"/>
      <c r="C441" s="12"/>
      <c r="D441" s="12"/>
      <c r="E441" s="23"/>
      <c r="F441" s="13"/>
      <c r="G441" s="23"/>
      <c r="H441" s="13"/>
      <c r="I441" s="15" t="str">
        <f aca="false">IF(AND(ISNUMBER(E441),ISNUMBER(G441)),(G441-E441)*1440,"")</f>
        <v/>
      </c>
      <c r="J441" s="13" t="str">
        <f aca="false">IF(E441="","",IF(ISNUMBER(I441),IF(I441&lt;=60,"OK","VIOLADO"),"Sem contacto"))</f>
        <v/>
      </c>
      <c r="K441" s="13"/>
      <c r="L441" s="13"/>
    </row>
    <row r="442" customFormat="false" ht="15" hidden="false" customHeight="false" outlineLevel="0" collapsed="false">
      <c r="A442" s="12"/>
      <c r="B442" s="12"/>
      <c r="C442" s="12"/>
      <c r="D442" s="12"/>
      <c r="E442" s="23"/>
      <c r="F442" s="13"/>
      <c r="G442" s="23"/>
      <c r="H442" s="13"/>
      <c r="I442" s="15" t="str">
        <f aca="false">IF(AND(ISNUMBER(E442),ISNUMBER(G442)),(G442-E442)*1440,"")</f>
        <v/>
      </c>
      <c r="J442" s="13" t="str">
        <f aca="false">IF(E442="","",IF(ISNUMBER(I442),IF(I442&lt;=60,"OK","VIOLADO"),"Sem contacto"))</f>
        <v/>
      </c>
      <c r="K442" s="13"/>
      <c r="L442" s="13"/>
    </row>
    <row r="443" customFormat="false" ht="15" hidden="false" customHeight="false" outlineLevel="0" collapsed="false">
      <c r="A443" s="12"/>
      <c r="B443" s="12"/>
      <c r="C443" s="12"/>
      <c r="D443" s="12"/>
      <c r="E443" s="23"/>
      <c r="F443" s="13"/>
      <c r="G443" s="23"/>
      <c r="H443" s="13"/>
      <c r="I443" s="15" t="str">
        <f aca="false">IF(AND(ISNUMBER(E443),ISNUMBER(G443)),(G443-E443)*1440,"")</f>
        <v/>
      </c>
      <c r="J443" s="13" t="str">
        <f aca="false">IF(E443="","",IF(ISNUMBER(I443),IF(I443&lt;=60,"OK","VIOLADO"),"Sem contacto"))</f>
        <v/>
      </c>
      <c r="K443" s="13"/>
      <c r="L443" s="13"/>
    </row>
    <row r="444" customFormat="false" ht="15" hidden="false" customHeight="false" outlineLevel="0" collapsed="false">
      <c r="A444" s="12"/>
      <c r="B444" s="12"/>
      <c r="C444" s="12"/>
      <c r="D444" s="12"/>
      <c r="E444" s="23"/>
      <c r="F444" s="13"/>
      <c r="G444" s="23"/>
      <c r="H444" s="13"/>
      <c r="I444" s="15" t="str">
        <f aca="false">IF(AND(ISNUMBER(E444),ISNUMBER(G444)),(G444-E444)*1440,"")</f>
        <v/>
      </c>
      <c r="J444" s="13" t="str">
        <f aca="false">IF(E444="","",IF(ISNUMBER(I444),IF(I444&lt;=60,"OK","VIOLADO"),"Sem contacto"))</f>
        <v/>
      </c>
      <c r="K444" s="13"/>
      <c r="L444" s="13"/>
    </row>
    <row r="445" customFormat="false" ht="15" hidden="false" customHeight="false" outlineLevel="0" collapsed="false">
      <c r="A445" s="12"/>
      <c r="B445" s="12"/>
      <c r="C445" s="12"/>
      <c r="D445" s="12"/>
      <c r="E445" s="23"/>
      <c r="F445" s="13"/>
      <c r="G445" s="23"/>
      <c r="H445" s="13"/>
      <c r="I445" s="15" t="str">
        <f aca="false">IF(AND(ISNUMBER(E445),ISNUMBER(G445)),(G445-E445)*1440,"")</f>
        <v/>
      </c>
      <c r="J445" s="13" t="str">
        <f aca="false">IF(E445="","",IF(ISNUMBER(I445),IF(I445&lt;=60,"OK","VIOLADO"),"Sem contacto"))</f>
        <v/>
      </c>
      <c r="K445" s="13"/>
      <c r="L445" s="13"/>
    </row>
    <row r="446" customFormat="false" ht="15" hidden="false" customHeight="false" outlineLevel="0" collapsed="false">
      <c r="A446" s="12"/>
      <c r="B446" s="12"/>
      <c r="C446" s="12"/>
      <c r="D446" s="12"/>
      <c r="E446" s="23"/>
      <c r="F446" s="13"/>
      <c r="G446" s="23"/>
      <c r="H446" s="13"/>
      <c r="I446" s="15" t="str">
        <f aca="false">IF(AND(ISNUMBER(E446),ISNUMBER(G446)),(G446-E446)*1440,"")</f>
        <v/>
      </c>
      <c r="J446" s="13" t="str">
        <f aca="false">IF(E446="","",IF(ISNUMBER(I446),IF(I446&lt;=60,"OK","VIOLADO"),"Sem contacto"))</f>
        <v/>
      </c>
      <c r="K446" s="13"/>
      <c r="L446" s="13"/>
    </row>
    <row r="447" customFormat="false" ht="15" hidden="false" customHeight="false" outlineLevel="0" collapsed="false">
      <c r="A447" s="12"/>
      <c r="B447" s="12"/>
      <c r="C447" s="12"/>
      <c r="D447" s="12"/>
      <c r="E447" s="23"/>
      <c r="F447" s="13"/>
      <c r="G447" s="23"/>
      <c r="H447" s="13"/>
      <c r="I447" s="15" t="str">
        <f aca="false">IF(AND(ISNUMBER(E447),ISNUMBER(G447)),(G447-E447)*1440,"")</f>
        <v/>
      </c>
      <c r="J447" s="13" t="str">
        <f aca="false">IF(E447="","",IF(ISNUMBER(I447),IF(I447&lt;=60,"OK","VIOLADO"),"Sem contacto"))</f>
        <v/>
      </c>
      <c r="K447" s="13"/>
      <c r="L447" s="13"/>
    </row>
    <row r="448" customFormat="false" ht="15" hidden="false" customHeight="false" outlineLevel="0" collapsed="false">
      <c r="A448" s="12"/>
      <c r="B448" s="12"/>
      <c r="C448" s="12"/>
      <c r="D448" s="12"/>
      <c r="E448" s="23"/>
      <c r="F448" s="13"/>
      <c r="G448" s="23"/>
      <c r="H448" s="13"/>
      <c r="I448" s="15" t="str">
        <f aca="false">IF(AND(ISNUMBER(E448),ISNUMBER(G448)),(G448-E448)*1440,"")</f>
        <v/>
      </c>
      <c r="J448" s="13" t="str">
        <f aca="false">IF(E448="","",IF(ISNUMBER(I448),IF(I448&lt;=60,"OK","VIOLADO"),"Sem contacto"))</f>
        <v/>
      </c>
      <c r="K448" s="13"/>
      <c r="L448" s="13"/>
    </row>
    <row r="449" customFormat="false" ht="15" hidden="false" customHeight="false" outlineLevel="0" collapsed="false">
      <c r="A449" s="12"/>
      <c r="B449" s="12"/>
      <c r="C449" s="12"/>
      <c r="D449" s="12"/>
      <c r="E449" s="23"/>
      <c r="F449" s="13"/>
      <c r="G449" s="23"/>
      <c r="H449" s="13"/>
      <c r="I449" s="15" t="str">
        <f aca="false">IF(AND(ISNUMBER(E449),ISNUMBER(G449)),(G449-E449)*1440,"")</f>
        <v/>
      </c>
      <c r="J449" s="13" t="str">
        <f aca="false">IF(E449="","",IF(ISNUMBER(I449),IF(I449&lt;=60,"OK","VIOLADO"),"Sem contacto"))</f>
        <v/>
      </c>
      <c r="K449" s="13"/>
      <c r="L449" s="13"/>
    </row>
    <row r="450" customFormat="false" ht="15" hidden="false" customHeight="false" outlineLevel="0" collapsed="false">
      <c r="A450" s="12"/>
      <c r="B450" s="12"/>
      <c r="C450" s="12"/>
      <c r="D450" s="12"/>
      <c r="E450" s="23"/>
      <c r="F450" s="13"/>
      <c r="G450" s="23"/>
      <c r="H450" s="13"/>
      <c r="I450" s="15" t="str">
        <f aca="false">IF(AND(ISNUMBER(E450),ISNUMBER(G450)),(G450-E450)*1440,"")</f>
        <v/>
      </c>
      <c r="J450" s="13" t="str">
        <f aca="false">IF(E450="","",IF(ISNUMBER(I450),IF(I450&lt;=60,"OK","VIOLADO"),"Sem contacto"))</f>
        <v/>
      </c>
      <c r="K450" s="13"/>
      <c r="L450" s="13"/>
    </row>
    <row r="451" customFormat="false" ht="15" hidden="false" customHeight="false" outlineLevel="0" collapsed="false">
      <c r="A451" s="12"/>
      <c r="B451" s="12"/>
      <c r="C451" s="12"/>
      <c r="D451" s="12"/>
      <c r="E451" s="23"/>
      <c r="F451" s="13"/>
      <c r="G451" s="23"/>
      <c r="H451" s="13"/>
      <c r="I451" s="15" t="str">
        <f aca="false">IF(AND(ISNUMBER(E451),ISNUMBER(G451)),(G451-E451)*1440,"")</f>
        <v/>
      </c>
      <c r="J451" s="13" t="str">
        <f aca="false">IF(E451="","",IF(ISNUMBER(I451),IF(I451&lt;=60,"OK","VIOLADO"),"Sem contacto"))</f>
        <v/>
      </c>
      <c r="K451" s="13"/>
      <c r="L451" s="13"/>
    </row>
    <row r="452" customFormat="false" ht="15" hidden="false" customHeight="false" outlineLevel="0" collapsed="false">
      <c r="A452" s="12"/>
      <c r="B452" s="12"/>
      <c r="C452" s="12"/>
      <c r="D452" s="12"/>
      <c r="E452" s="23"/>
      <c r="F452" s="13"/>
      <c r="G452" s="23"/>
      <c r="H452" s="13"/>
      <c r="I452" s="15" t="str">
        <f aca="false">IF(AND(ISNUMBER(E452),ISNUMBER(G452)),(G452-E452)*1440,"")</f>
        <v/>
      </c>
      <c r="J452" s="13" t="str">
        <f aca="false">IF(E452="","",IF(ISNUMBER(I452),IF(I452&lt;=60,"OK","VIOLADO"),"Sem contacto"))</f>
        <v/>
      </c>
      <c r="K452" s="13"/>
      <c r="L452" s="13"/>
    </row>
    <row r="453" customFormat="false" ht="15" hidden="false" customHeight="false" outlineLevel="0" collapsed="false">
      <c r="A453" s="12"/>
      <c r="B453" s="12"/>
      <c r="C453" s="12"/>
      <c r="D453" s="12"/>
      <c r="E453" s="23"/>
      <c r="F453" s="13"/>
      <c r="G453" s="23"/>
      <c r="H453" s="13"/>
      <c r="I453" s="15" t="str">
        <f aca="false">IF(AND(ISNUMBER(E453),ISNUMBER(G453)),(G453-E453)*1440,"")</f>
        <v/>
      </c>
      <c r="J453" s="13" t="str">
        <f aca="false">IF(E453="","",IF(ISNUMBER(I453),IF(I453&lt;=60,"OK","VIOLADO"),"Sem contacto"))</f>
        <v/>
      </c>
      <c r="K453" s="13"/>
      <c r="L453" s="13"/>
    </row>
    <row r="454" customFormat="false" ht="15" hidden="false" customHeight="false" outlineLevel="0" collapsed="false">
      <c r="A454" s="12"/>
      <c r="B454" s="12"/>
      <c r="C454" s="12"/>
      <c r="D454" s="12"/>
      <c r="E454" s="23"/>
      <c r="F454" s="13"/>
      <c r="G454" s="23"/>
      <c r="H454" s="13"/>
      <c r="I454" s="15" t="str">
        <f aca="false">IF(AND(ISNUMBER(E454),ISNUMBER(G454)),(G454-E454)*1440,"")</f>
        <v/>
      </c>
      <c r="J454" s="13" t="str">
        <f aca="false">IF(E454="","",IF(ISNUMBER(I454),IF(I454&lt;=60,"OK","VIOLADO"),"Sem contacto"))</f>
        <v/>
      </c>
      <c r="K454" s="13"/>
      <c r="L454" s="13"/>
    </row>
    <row r="455" customFormat="false" ht="15" hidden="false" customHeight="false" outlineLevel="0" collapsed="false">
      <c r="A455" s="12"/>
      <c r="B455" s="12"/>
      <c r="C455" s="12"/>
      <c r="D455" s="12"/>
      <c r="E455" s="23"/>
      <c r="F455" s="13"/>
      <c r="G455" s="23"/>
      <c r="H455" s="13"/>
      <c r="I455" s="15" t="str">
        <f aca="false">IF(AND(ISNUMBER(E455),ISNUMBER(G455)),(G455-E455)*1440,"")</f>
        <v/>
      </c>
      <c r="J455" s="13" t="str">
        <f aca="false">IF(E455="","",IF(ISNUMBER(I455),IF(I455&lt;=60,"OK","VIOLADO"),"Sem contacto"))</f>
        <v/>
      </c>
      <c r="K455" s="13"/>
      <c r="L455" s="13"/>
    </row>
    <row r="456" customFormat="false" ht="15" hidden="false" customHeight="false" outlineLevel="0" collapsed="false">
      <c r="A456" s="12"/>
      <c r="B456" s="12"/>
      <c r="C456" s="12"/>
      <c r="D456" s="12"/>
      <c r="E456" s="23"/>
      <c r="F456" s="13"/>
      <c r="G456" s="23"/>
      <c r="H456" s="13"/>
      <c r="I456" s="15" t="str">
        <f aca="false">IF(AND(ISNUMBER(E456),ISNUMBER(G456)),(G456-E456)*1440,"")</f>
        <v/>
      </c>
      <c r="J456" s="13" t="str">
        <f aca="false">IF(E456="","",IF(ISNUMBER(I456),IF(I456&lt;=60,"OK","VIOLADO"),"Sem contacto"))</f>
        <v/>
      </c>
      <c r="K456" s="13"/>
      <c r="L456" s="13"/>
    </row>
    <row r="457" customFormat="false" ht="15" hidden="false" customHeight="false" outlineLevel="0" collapsed="false">
      <c r="A457" s="12"/>
      <c r="B457" s="12"/>
      <c r="C457" s="12"/>
      <c r="D457" s="12"/>
      <c r="E457" s="23"/>
      <c r="F457" s="13"/>
      <c r="G457" s="23"/>
      <c r="H457" s="13"/>
      <c r="I457" s="15" t="str">
        <f aca="false">IF(AND(ISNUMBER(E457),ISNUMBER(G457)),(G457-E457)*1440,"")</f>
        <v/>
      </c>
      <c r="J457" s="13" t="str">
        <f aca="false">IF(E457="","",IF(ISNUMBER(I457),IF(I457&lt;=60,"OK","VIOLADO"),"Sem contacto"))</f>
        <v/>
      </c>
      <c r="K457" s="13"/>
      <c r="L457" s="13"/>
    </row>
    <row r="458" customFormat="false" ht="15" hidden="false" customHeight="false" outlineLevel="0" collapsed="false">
      <c r="A458" s="12"/>
      <c r="B458" s="12"/>
      <c r="C458" s="12"/>
      <c r="D458" s="12"/>
      <c r="E458" s="23"/>
      <c r="F458" s="13"/>
      <c r="G458" s="23"/>
      <c r="H458" s="13"/>
      <c r="I458" s="15" t="str">
        <f aca="false">IF(AND(ISNUMBER(E458),ISNUMBER(G458)),(G458-E458)*1440,"")</f>
        <v/>
      </c>
      <c r="J458" s="13" t="str">
        <f aca="false">IF(E458="","",IF(ISNUMBER(I458),IF(I458&lt;=60,"OK","VIOLADO"),"Sem contacto"))</f>
        <v/>
      </c>
      <c r="K458" s="13"/>
      <c r="L458" s="13"/>
    </row>
    <row r="459" customFormat="false" ht="15" hidden="false" customHeight="false" outlineLevel="0" collapsed="false">
      <c r="A459" s="12"/>
      <c r="B459" s="12"/>
      <c r="C459" s="12"/>
      <c r="D459" s="12"/>
      <c r="E459" s="23"/>
      <c r="F459" s="13"/>
      <c r="G459" s="23"/>
      <c r="H459" s="13"/>
      <c r="I459" s="15" t="str">
        <f aca="false">IF(AND(ISNUMBER(E459),ISNUMBER(G459)),(G459-E459)*1440,"")</f>
        <v/>
      </c>
      <c r="J459" s="13" t="str">
        <f aca="false">IF(E459="","",IF(ISNUMBER(I459),IF(I459&lt;=60,"OK","VIOLADO"),"Sem contacto"))</f>
        <v/>
      </c>
      <c r="K459" s="13"/>
      <c r="L459" s="13"/>
    </row>
    <row r="460" customFormat="false" ht="15" hidden="false" customHeight="false" outlineLevel="0" collapsed="false">
      <c r="A460" s="12"/>
      <c r="B460" s="12"/>
      <c r="C460" s="12"/>
      <c r="D460" s="12"/>
      <c r="E460" s="23"/>
      <c r="F460" s="13"/>
      <c r="G460" s="23"/>
      <c r="H460" s="13"/>
      <c r="I460" s="15" t="str">
        <f aca="false">IF(AND(ISNUMBER(E460),ISNUMBER(G460)),(G460-E460)*1440,"")</f>
        <v/>
      </c>
      <c r="J460" s="13" t="str">
        <f aca="false">IF(E460="","",IF(ISNUMBER(I460),IF(I460&lt;=60,"OK","VIOLADO"),"Sem contacto"))</f>
        <v/>
      </c>
      <c r="K460" s="13"/>
      <c r="L460" s="13"/>
    </row>
    <row r="461" customFormat="false" ht="15" hidden="false" customHeight="false" outlineLevel="0" collapsed="false">
      <c r="A461" s="12"/>
      <c r="B461" s="12"/>
      <c r="C461" s="12"/>
      <c r="D461" s="12"/>
      <c r="E461" s="23"/>
      <c r="F461" s="13"/>
      <c r="G461" s="23"/>
      <c r="H461" s="13"/>
      <c r="I461" s="15" t="str">
        <f aca="false">IF(AND(ISNUMBER(E461),ISNUMBER(G461)),(G461-E461)*1440,"")</f>
        <v/>
      </c>
      <c r="J461" s="13" t="str">
        <f aca="false">IF(E461="","",IF(ISNUMBER(I461),IF(I461&lt;=60,"OK","VIOLADO"),"Sem contacto"))</f>
        <v/>
      </c>
      <c r="K461" s="13"/>
      <c r="L461" s="13"/>
    </row>
    <row r="462" customFormat="false" ht="15" hidden="false" customHeight="false" outlineLevel="0" collapsed="false">
      <c r="A462" s="12"/>
      <c r="B462" s="12"/>
      <c r="C462" s="12"/>
      <c r="D462" s="12"/>
      <c r="E462" s="23"/>
      <c r="F462" s="13"/>
      <c r="G462" s="23"/>
      <c r="H462" s="13"/>
      <c r="I462" s="15" t="str">
        <f aca="false">IF(AND(ISNUMBER(E462),ISNUMBER(G462)),(G462-E462)*1440,"")</f>
        <v/>
      </c>
      <c r="J462" s="13" t="str">
        <f aca="false">IF(E462="","",IF(ISNUMBER(I462),IF(I462&lt;=60,"OK","VIOLADO"),"Sem contacto"))</f>
        <v/>
      </c>
      <c r="K462" s="13"/>
      <c r="L462" s="13"/>
    </row>
    <row r="463" customFormat="false" ht="15" hidden="false" customHeight="false" outlineLevel="0" collapsed="false">
      <c r="A463" s="12"/>
      <c r="B463" s="12"/>
      <c r="C463" s="12"/>
      <c r="D463" s="12"/>
      <c r="E463" s="23"/>
      <c r="F463" s="13"/>
      <c r="G463" s="23"/>
      <c r="H463" s="13"/>
      <c r="I463" s="15" t="str">
        <f aca="false">IF(AND(ISNUMBER(E463),ISNUMBER(G463)),(G463-E463)*1440,"")</f>
        <v/>
      </c>
      <c r="J463" s="13" t="str">
        <f aca="false">IF(E463="","",IF(ISNUMBER(I463),IF(I463&lt;=60,"OK","VIOLADO"),"Sem contacto"))</f>
        <v/>
      </c>
      <c r="K463" s="13"/>
      <c r="L463" s="13"/>
    </row>
    <row r="464" customFormat="false" ht="15" hidden="false" customHeight="false" outlineLevel="0" collapsed="false">
      <c r="A464" s="12"/>
      <c r="B464" s="12"/>
      <c r="C464" s="12"/>
      <c r="D464" s="12"/>
      <c r="E464" s="23"/>
      <c r="F464" s="13"/>
      <c r="G464" s="23"/>
      <c r="H464" s="13"/>
      <c r="I464" s="15" t="str">
        <f aca="false">IF(AND(ISNUMBER(E464),ISNUMBER(G464)),(G464-E464)*1440,"")</f>
        <v/>
      </c>
      <c r="J464" s="13" t="str">
        <f aca="false">IF(E464="","",IF(ISNUMBER(I464),IF(I464&lt;=60,"OK","VIOLADO"),"Sem contacto"))</f>
        <v/>
      </c>
      <c r="K464" s="13"/>
      <c r="L464" s="13"/>
    </row>
    <row r="465" customFormat="false" ht="15" hidden="false" customHeight="false" outlineLevel="0" collapsed="false">
      <c r="A465" s="12"/>
      <c r="B465" s="12"/>
      <c r="C465" s="12"/>
      <c r="D465" s="12"/>
      <c r="E465" s="23"/>
      <c r="F465" s="13"/>
      <c r="G465" s="23"/>
      <c r="H465" s="13"/>
      <c r="I465" s="15" t="str">
        <f aca="false">IF(AND(ISNUMBER(E465),ISNUMBER(G465)),(G465-E465)*1440,"")</f>
        <v/>
      </c>
      <c r="J465" s="13" t="str">
        <f aca="false">IF(E465="","",IF(ISNUMBER(I465),IF(I465&lt;=60,"OK","VIOLADO"),"Sem contacto"))</f>
        <v/>
      </c>
      <c r="K465" s="13"/>
      <c r="L465" s="13"/>
    </row>
    <row r="466" customFormat="false" ht="15" hidden="false" customHeight="false" outlineLevel="0" collapsed="false">
      <c r="A466" s="12"/>
      <c r="B466" s="12"/>
      <c r="C466" s="12"/>
      <c r="D466" s="12"/>
      <c r="E466" s="23"/>
      <c r="F466" s="13"/>
      <c r="G466" s="23"/>
      <c r="H466" s="13"/>
      <c r="I466" s="15" t="str">
        <f aca="false">IF(AND(ISNUMBER(E466),ISNUMBER(G466)),(G466-E466)*1440,"")</f>
        <v/>
      </c>
      <c r="J466" s="13" t="str">
        <f aca="false">IF(E466="","",IF(ISNUMBER(I466),IF(I466&lt;=60,"OK","VIOLADO"),"Sem contacto"))</f>
        <v/>
      </c>
      <c r="K466" s="13"/>
      <c r="L466" s="13"/>
    </row>
    <row r="467" customFormat="false" ht="15" hidden="false" customHeight="false" outlineLevel="0" collapsed="false">
      <c r="A467" s="12"/>
      <c r="B467" s="12"/>
      <c r="C467" s="12"/>
      <c r="D467" s="12"/>
      <c r="E467" s="23"/>
      <c r="F467" s="13"/>
      <c r="G467" s="23"/>
      <c r="H467" s="13"/>
      <c r="I467" s="15" t="str">
        <f aca="false">IF(AND(ISNUMBER(E467),ISNUMBER(G467)),(G467-E467)*1440,"")</f>
        <v/>
      </c>
      <c r="J467" s="13" t="str">
        <f aca="false">IF(E467="","",IF(ISNUMBER(I467),IF(I467&lt;=60,"OK","VIOLADO"),"Sem contacto"))</f>
        <v/>
      </c>
      <c r="K467" s="13"/>
      <c r="L467" s="13"/>
    </row>
    <row r="468" customFormat="false" ht="15" hidden="false" customHeight="false" outlineLevel="0" collapsed="false">
      <c r="A468" s="12"/>
      <c r="B468" s="12"/>
      <c r="C468" s="12"/>
      <c r="D468" s="12"/>
      <c r="E468" s="23"/>
      <c r="F468" s="13"/>
      <c r="G468" s="23"/>
      <c r="H468" s="13"/>
      <c r="I468" s="15" t="str">
        <f aca="false">IF(AND(ISNUMBER(E468),ISNUMBER(G468)),(G468-E468)*1440,"")</f>
        <v/>
      </c>
      <c r="J468" s="13" t="str">
        <f aca="false">IF(E468="","",IF(ISNUMBER(I468),IF(I468&lt;=60,"OK","VIOLADO"),"Sem contacto"))</f>
        <v/>
      </c>
      <c r="K468" s="13"/>
      <c r="L468" s="13"/>
    </row>
    <row r="469" customFormat="false" ht="15" hidden="false" customHeight="false" outlineLevel="0" collapsed="false">
      <c r="A469" s="12"/>
      <c r="B469" s="12"/>
      <c r="C469" s="12"/>
      <c r="D469" s="12"/>
      <c r="E469" s="23"/>
      <c r="F469" s="13"/>
      <c r="G469" s="23"/>
      <c r="H469" s="13"/>
      <c r="I469" s="15" t="str">
        <f aca="false">IF(AND(ISNUMBER(E469),ISNUMBER(G469)),(G469-E469)*1440,"")</f>
        <v/>
      </c>
      <c r="J469" s="13" t="str">
        <f aca="false">IF(E469="","",IF(ISNUMBER(I469),IF(I469&lt;=60,"OK","VIOLADO"),"Sem contacto"))</f>
        <v/>
      </c>
      <c r="K469" s="13"/>
      <c r="L469" s="13"/>
    </row>
    <row r="470" customFormat="false" ht="15" hidden="false" customHeight="false" outlineLevel="0" collapsed="false">
      <c r="A470" s="12"/>
      <c r="B470" s="12"/>
      <c r="C470" s="12"/>
      <c r="D470" s="12"/>
      <c r="E470" s="23"/>
      <c r="F470" s="13"/>
      <c r="G470" s="23"/>
      <c r="H470" s="13"/>
      <c r="I470" s="15" t="str">
        <f aca="false">IF(AND(ISNUMBER(E470),ISNUMBER(G470)),(G470-E470)*1440,"")</f>
        <v/>
      </c>
      <c r="J470" s="13" t="str">
        <f aca="false">IF(E470="","",IF(ISNUMBER(I470),IF(I470&lt;=60,"OK","VIOLADO"),"Sem contacto"))</f>
        <v/>
      </c>
      <c r="K470" s="13"/>
      <c r="L470" s="13"/>
    </row>
    <row r="471" customFormat="false" ht="15" hidden="false" customHeight="false" outlineLevel="0" collapsed="false">
      <c r="A471" s="12"/>
      <c r="B471" s="12"/>
      <c r="C471" s="12"/>
      <c r="D471" s="12"/>
      <c r="E471" s="23"/>
      <c r="F471" s="13"/>
      <c r="G471" s="23"/>
      <c r="H471" s="13"/>
      <c r="I471" s="15" t="str">
        <f aca="false">IF(AND(ISNUMBER(E471),ISNUMBER(G471)),(G471-E471)*1440,"")</f>
        <v/>
      </c>
      <c r="J471" s="13" t="str">
        <f aca="false">IF(E471="","",IF(ISNUMBER(I471),IF(I471&lt;=60,"OK","VIOLADO"),"Sem contacto"))</f>
        <v/>
      </c>
      <c r="K471" s="13"/>
      <c r="L471" s="13"/>
    </row>
    <row r="472" customFormat="false" ht="15" hidden="false" customHeight="false" outlineLevel="0" collapsed="false">
      <c r="A472" s="12"/>
      <c r="B472" s="12"/>
      <c r="C472" s="12"/>
      <c r="D472" s="12"/>
      <c r="E472" s="23"/>
      <c r="F472" s="13"/>
      <c r="G472" s="23"/>
      <c r="H472" s="13"/>
      <c r="I472" s="15" t="str">
        <f aca="false">IF(AND(ISNUMBER(E472),ISNUMBER(G472)),(G472-E472)*1440,"")</f>
        <v/>
      </c>
      <c r="J472" s="13" t="str">
        <f aca="false">IF(E472="","",IF(ISNUMBER(I472),IF(I472&lt;=60,"OK","VIOLADO"),"Sem contacto"))</f>
        <v/>
      </c>
      <c r="K472" s="13"/>
      <c r="L472" s="13"/>
    </row>
    <row r="473" customFormat="false" ht="15" hidden="false" customHeight="false" outlineLevel="0" collapsed="false">
      <c r="A473" s="12"/>
      <c r="B473" s="12"/>
      <c r="C473" s="12"/>
      <c r="D473" s="12"/>
      <c r="E473" s="23"/>
      <c r="F473" s="13"/>
      <c r="G473" s="23"/>
      <c r="H473" s="13"/>
      <c r="I473" s="15" t="str">
        <f aca="false">IF(AND(ISNUMBER(E473),ISNUMBER(G473)),(G473-E473)*1440,"")</f>
        <v/>
      </c>
      <c r="J473" s="13" t="str">
        <f aca="false">IF(E473="","",IF(ISNUMBER(I473),IF(I473&lt;=60,"OK","VIOLADO"),"Sem contacto"))</f>
        <v/>
      </c>
      <c r="K473" s="13"/>
      <c r="L473" s="13"/>
    </row>
    <row r="474" customFormat="false" ht="15" hidden="false" customHeight="false" outlineLevel="0" collapsed="false">
      <c r="A474" s="12"/>
      <c r="B474" s="12"/>
      <c r="C474" s="12"/>
      <c r="D474" s="12"/>
      <c r="E474" s="23"/>
      <c r="F474" s="13"/>
      <c r="G474" s="23"/>
      <c r="H474" s="13"/>
      <c r="I474" s="15" t="str">
        <f aca="false">IF(AND(ISNUMBER(E474),ISNUMBER(G474)),(G474-E474)*1440,"")</f>
        <v/>
      </c>
      <c r="J474" s="13" t="str">
        <f aca="false">IF(E474="","",IF(ISNUMBER(I474),IF(I474&lt;=60,"OK","VIOLADO"),"Sem contacto"))</f>
        <v/>
      </c>
      <c r="K474" s="13"/>
      <c r="L474" s="13"/>
    </row>
    <row r="475" customFormat="false" ht="15" hidden="false" customHeight="false" outlineLevel="0" collapsed="false">
      <c r="A475" s="12"/>
      <c r="B475" s="12"/>
      <c r="C475" s="12"/>
      <c r="D475" s="12"/>
      <c r="E475" s="23"/>
      <c r="F475" s="13"/>
      <c r="G475" s="23"/>
      <c r="H475" s="13"/>
      <c r="I475" s="15" t="str">
        <f aca="false">IF(AND(ISNUMBER(E475),ISNUMBER(G475)),(G475-E475)*1440,"")</f>
        <v/>
      </c>
      <c r="J475" s="13" t="str">
        <f aca="false">IF(E475="","",IF(ISNUMBER(I475),IF(I475&lt;=60,"OK","VIOLADO"),"Sem contacto"))</f>
        <v/>
      </c>
      <c r="K475" s="13"/>
      <c r="L475" s="13"/>
    </row>
    <row r="476" customFormat="false" ht="15" hidden="false" customHeight="false" outlineLevel="0" collapsed="false">
      <c r="A476" s="12"/>
      <c r="B476" s="12"/>
      <c r="C476" s="12"/>
      <c r="D476" s="12"/>
      <c r="E476" s="23"/>
      <c r="F476" s="13"/>
      <c r="G476" s="23"/>
      <c r="H476" s="13"/>
      <c r="I476" s="15" t="str">
        <f aca="false">IF(AND(ISNUMBER(E476),ISNUMBER(G476)),(G476-E476)*1440,"")</f>
        <v/>
      </c>
      <c r="J476" s="13" t="str">
        <f aca="false">IF(E476="","",IF(ISNUMBER(I476),IF(I476&lt;=60,"OK","VIOLADO"),"Sem contacto"))</f>
        <v/>
      </c>
      <c r="K476" s="13"/>
      <c r="L476" s="13"/>
    </row>
    <row r="477" customFormat="false" ht="15" hidden="false" customHeight="false" outlineLevel="0" collapsed="false">
      <c r="A477" s="12"/>
      <c r="B477" s="12"/>
      <c r="C477" s="12"/>
      <c r="D477" s="12"/>
      <c r="E477" s="23"/>
      <c r="F477" s="13"/>
      <c r="G477" s="23"/>
      <c r="H477" s="13"/>
      <c r="I477" s="15" t="str">
        <f aca="false">IF(AND(ISNUMBER(E477),ISNUMBER(G477)),(G477-E477)*1440,"")</f>
        <v/>
      </c>
      <c r="J477" s="13" t="str">
        <f aca="false">IF(E477="","",IF(ISNUMBER(I477),IF(I477&lt;=60,"OK","VIOLADO"),"Sem contacto"))</f>
        <v/>
      </c>
      <c r="K477" s="13"/>
      <c r="L477" s="13"/>
    </row>
    <row r="478" customFormat="false" ht="15" hidden="false" customHeight="false" outlineLevel="0" collapsed="false">
      <c r="A478" s="12"/>
      <c r="B478" s="12"/>
      <c r="C478" s="12"/>
      <c r="D478" s="12"/>
      <c r="E478" s="23"/>
      <c r="F478" s="13"/>
      <c r="G478" s="23"/>
      <c r="H478" s="13"/>
      <c r="I478" s="15" t="str">
        <f aca="false">IF(AND(ISNUMBER(E478),ISNUMBER(G478)),(G478-E478)*1440,"")</f>
        <v/>
      </c>
      <c r="J478" s="13" t="str">
        <f aca="false">IF(E478="","",IF(ISNUMBER(I478),IF(I478&lt;=60,"OK","VIOLADO"),"Sem contacto"))</f>
        <v/>
      </c>
      <c r="K478" s="13"/>
      <c r="L478" s="13"/>
    </row>
    <row r="479" customFormat="false" ht="15" hidden="false" customHeight="false" outlineLevel="0" collapsed="false">
      <c r="A479" s="12"/>
      <c r="B479" s="12"/>
      <c r="C479" s="12"/>
      <c r="D479" s="12"/>
      <c r="E479" s="23"/>
      <c r="F479" s="13"/>
      <c r="G479" s="23"/>
      <c r="H479" s="13"/>
      <c r="I479" s="15" t="str">
        <f aca="false">IF(AND(ISNUMBER(E479),ISNUMBER(G479)),(G479-E479)*1440,"")</f>
        <v/>
      </c>
      <c r="J479" s="13" t="str">
        <f aca="false">IF(E479="","",IF(ISNUMBER(I479),IF(I479&lt;=60,"OK","VIOLADO"),"Sem contacto"))</f>
        <v/>
      </c>
      <c r="K479" s="13"/>
      <c r="L479" s="13"/>
    </row>
    <row r="480" customFormat="false" ht="15" hidden="false" customHeight="false" outlineLevel="0" collapsed="false">
      <c r="A480" s="12"/>
      <c r="B480" s="12"/>
      <c r="C480" s="12"/>
      <c r="D480" s="12"/>
      <c r="E480" s="23"/>
      <c r="F480" s="13"/>
      <c r="G480" s="23"/>
      <c r="H480" s="13"/>
      <c r="I480" s="15" t="str">
        <f aca="false">IF(AND(ISNUMBER(E480),ISNUMBER(G480)),(G480-E480)*1440,"")</f>
        <v/>
      </c>
      <c r="J480" s="13" t="str">
        <f aca="false">IF(E480="","",IF(ISNUMBER(I480),IF(I480&lt;=60,"OK","VIOLADO"),"Sem contacto"))</f>
        <v/>
      </c>
      <c r="K480" s="13"/>
      <c r="L480" s="13"/>
    </row>
    <row r="481" customFormat="false" ht="15" hidden="false" customHeight="false" outlineLevel="0" collapsed="false">
      <c r="A481" s="12"/>
      <c r="B481" s="12"/>
      <c r="C481" s="12"/>
      <c r="D481" s="12"/>
      <c r="E481" s="23"/>
      <c r="F481" s="13"/>
      <c r="G481" s="23"/>
      <c r="H481" s="13"/>
      <c r="I481" s="15" t="str">
        <f aca="false">IF(AND(ISNUMBER(E481),ISNUMBER(G481)),(G481-E481)*1440,"")</f>
        <v/>
      </c>
      <c r="J481" s="13" t="str">
        <f aca="false">IF(E481="","",IF(ISNUMBER(I481),IF(I481&lt;=60,"OK","VIOLADO"),"Sem contacto"))</f>
        <v/>
      </c>
      <c r="K481" s="13"/>
      <c r="L481" s="13"/>
    </row>
    <row r="482" customFormat="false" ht="15" hidden="false" customHeight="false" outlineLevel="0" collapsed="false">
      <c r="A482" s="12"/>
      <c r="B482" s="12"/>
      <c r="C482" s="12"/>
      <c r="D482" s="12"/>
      <c r="E482" s="23"/>
      <c r="F482" s="13"/>
      <c r="G482" s="23"/>
      <c r="H482" s="13"/>
      <c r="I482" s="15" t="str">
        <f aca="false">IF(AND(ISNUMBER(E482),ISNUMBER(G482)),(G482-E482)*1440,"")</f>
        <v/>
      </c>
      <c r="J482" s="13" t="str">
        <f aca="false">IF(E482="","",IF(ISNUMBER(I482),IF(I482&lt;=60,"OK","VIOLADO"),"Sem contacto"))</f>
        <v/>
      </c>
      <c r="K482" s="13"/>
      <c r="L482" s="13"/>
    </row>
    <row r="483" customFormat="false" ht="15" hidden="false" customHeight="false" outlineLevel="0" collapsed="false">
      <c r="A483" s="12"/>
      <c r="B483" s="12"/>
      <c r="C483" s="12"/>
      <c r="D483" s="12"/>
      <c r="E483" s="23"/>
      <c r="F483" s="13"/>
      <c r="G483" s="23"/>
      <c r="H483" s="13"/>
      <c r="I483" s="15" t="str">
        <f aca="false">IF(AND(ISNUMBER(E483),ISNUMBER(G483)),(G483-E483)*1440,"")</f>
        <v/>
      </c>
      <c r="J483" s="13" t="str">
        <f aca="false">IF(E483="","",IF(ISNUMBER(I483),IF(I483&lt;=60,"OK","VIOLADO"),"Sem contacto"))</f>
        <v/>
      </c>
      <c r="K483" s="13"/>
      <c r="L483" s="13"/>
    </row>
    <row r="484" customFormat="false" ht="15" hidden="false" customHeight="false" outlineLevel="0" collapsed="false">
      <c r="A484" s="12"/>
      <c r="B484" s="12"/>
      <c r="C484" s="12"/>
      <c r="D484" s="12"/>
      <c r="E484" s="23"/>
      <c r="F484" s="13"/>
      <c r="G484" s="23"/>
      <c r="H484" s="13"/>
      <c r="I484" s="15" t="str">
        <f aca="false">IF(AND(ISNUMBER(E484),ISNUMBER(G484)),(G484-E484)*1440,"")</f>
        <v/>
      </c>
      <c r="J484" s="13" t="str">
        <f aca="false">IF(E484="","",IF(ISNUMBER(I484),IF(I484&lt;=60,"OK","VIOLADO"),"Sem contacto"))</f>
        <v/>
      </c>
      <c r="K484" s="13"/>
      <c r="L484" s="13"/>
    </row>
    <row r="485" customFormat="false" ht="15" hidden="false" customHeight="false" outlineLevel="0" collapsed="false">
      <c r="A485" s="12"/>
      <c r="B485" s="12"/>
      <c r="C485" s="12"/>
      <c r="D485" s="12"/>
      <c r="E485" s="23"/>
      <c r="F485" s="13"/>
      <c r="G485" s="23"/>
      <c r="H485" s="13"/>
      <c r="I485" s="15" t="str">
        <f aca="false">IF(AND(ISNUMBER(E485),ISNUMBER(G485)),(G485-E485)*1440,"")</f>
        <v/>
      </c>
      <c r="J485" s="13" t="str">
        <f aca="false">IF(E485="","",IF(ISNUMBER(I485),IF(I485&lt;=60,"OK","VIOLADO"),"Sem contacto"))</f>
        <v/>
      </c>
      <c r="K485" s="13"/>
      <c r="L485" s="13"/>
    </row>
    <row r="486" customFormat="false" ht="15" hidden="false" customHeight="false" outlineLevel="0" collapsed="false">
      <c r="A486" s="12"/>
      <c r="B486" s="12"/>
      <c r="C486" s="12"/>
      <c r="D486" s="12"/>
      <c r="E486" s="23"/>
      <c r="F486" s="13"/>
      <c r="G486" s="23"/>
      <c r="H486" s="13"/>
      <c r="I486" s="15" t="str">
        <f aca="false">IF(AND(ISNUMBER(E486),ISNUMBER(G486)),(G486-E486)*1440,"")</f>
        <v/>
      </c>
      <c r="J486" s="13" t="str">
        <f aca="false">IF(E486="","",IF(ISNUMBER(I486),IF(I486&lt;=60,"OK","VIOLADO"),"Sem contacto"))</f>
        <v/>
      </c>
      <c r="K486" s="13"/>
      <c r="L486" s="13"/>
    </row>
    <row r="487" customFormat="false" ht="15" hidden="false" customHeight="false" outlineLevel="0" collapsed="false">
      <c r="A487" s="12"/>
      <c r="B487" s="12"/>
      <c r="C487" s="12"/>
      <c r="D487" s="12"/>
      <c r="E487" s="23"/>
      <c r="F487" s="13"/>
      <c r="G487" s="23"/>
      <c r="H487" s="13"/>
      <c r="I487" s="15" t="str">
        <f aca="false">IF(AND(ISNUMBER(E487),ISNUMBER(G487)),(G487-E487)*1440,"")</f>
        <v/>
      </c>
      <c r="J487" s="13" t="str">
        <f aca="false">IF(E487="","",IF(ISNUMBER(I487),IF(I487&lt;=60,"OK","VIOLADO"),"Sem contacto"))</f>
        <v/>
      </c>
      <c r="K487" s="13"/>
      <c r="L487" s="13"/>
    </row>
    <row r="488" customFormat="false" ht="15" hidden="false" customHeight="false" outlineLevel="0" collapsed="false">
      <c r="A488" s="12"/>
      <c r="B488" s="12"/>
      <c r="C488" s="12"/>
      <c r="D488" s="12"/>
      <c r="E488" s="23"/>
      <c r="F488" s="13"/>
      <c r="G488" s="23"/>
      <c r="H488" s="13"/>
      <c r="I488" s="15" t="str">
        <f aca="false">IF(AND(ISNUMBER(E488),ISNUMBER(G488)),(G488-E488)*1440,"")</f>
        <v/>
      </c>
      <c r="J488" s="13" t="str">
        <f aca="false">IF(E488="","",IF(ISNUMBER(I488),IF(I488&lt;=60,"OK","VIOLADO"),"Sem contacto"))</f>
        <v/>
      </c>
      <c r="K488" s="13"/>
      <c r="L488" s="13"/>
    </row>
    <row r="489" customFormat="false" ht="15" hidden="false" customHeight="false" outlineLevel="0" collapsed="false">
      <c r="A489" s="12"/>
      <c r="B489" s="12"/>
      <c r="C489" s="12"/>
      <c r="D489" s="12"/>
      <c r="E489" s="23"/>
      <c r="F489" s="13"/>
      <c r="G489" s="23"/>
      <c r="H489" s="13"/>
      <c r="I489" s="15" t="str">
        <f aca="false">IF(AND(ISNUMBER(E489),ISNUMBER(G489)),(G489-E489)*1440,"")</f>
        <v/>
      </c>
      <c r="J489" s="13" t="str">
        <f aca="false">IF(E489="","",IF(ISNUMBER(I489),IF(I489&lt;=60,"OK","VIOLADO"),"Sem contacto"))</f>
        <v/>
      </c>
      <c r="K489" s="13"/>
      <c r="L489" s="13"/>
    </row>
    <row r="490" customFormat="false" ht="15" hidden="false" customHeight="false" outlineLevel="0" collapsed="false">
      <c r="A490" s="12"/>
      <c r="B490" s="12"/>
      <c r="C490" s="12"/>
      <c r="D490" s="12"/>
      <c r="E490" s="23"/>
      <c r="F490" s="13"/>
      <c r="G490" s="23"/>
      <c r="H490" s="13"/>
      <c r="I490" s="15" t="str">
        <f aca="false">IF(AND(ISNUMBER(E490),ISNUMBER(G490)),(G490-E490)*1440,"")</f>
        <v/>
      </c>
      <c r="J490" s="13" t="str">
        <f aca="false">IF(E490="","",IF(ISNUMBER(I490),IF(I490&lt;=60,"OK","VIOLADO"),"Sem contacto"))</f>
        <v/>
      </c>
      <c r="K490" s="13"/>
      <c r="L490" s="13"/>
    </row>
    <row r="491" customFormat="false" ht="15" hidden="false" customHeight="false" outlineLevel="0" collapsed="false">
      <c r="A491" s="12"/>
      <c r="B491" s="12"/>
      <c r="C491" s="12"/>
      <c r="D491" s="12"/>
      <c r="E491" s="23"/>
      <c r="F491" s="13"/>
      <c r="G491" s="23"/>
      <c r="H491" s="13"/>
      <c r="I491" s="15" t="str">
        <f aca="false">IF(AND(ISNUMBER(E491),ISNUMBER(G491)),(G491-E491)*1440,"")</f>
        <v/>
      </c>
      <c r="J491" s="13" t="str">
        <f aca="false">IF(E491="","",IF(ISNUMBER(I491),IF(I491&lt;=60,"OK","VIOLADO"),"Sem contacto"))</f>
        <v/>
      </c>
      <c r="K491" s="13"/>
      <c r="L491" s="13"/>
    </row>
    <row r="492" customFormat="false" ht="15" hidden="false" customHeight="false" outlineLevel="0" collapsed="false">
      <c r="A492" s="12"/>
      <c r="B492" s="12"/>
      <c r="C492" s="12"/>
      <c r="D492" s="12"/>
      <c r="E492" s="23"/>
      <c r="F492" s="13"/>
      <c r="G492" s="23"/>
      <c r="H492" s="13"/>
      <c r="I492" s="15" t="str">
        <f aca="false">IF(AND(ISNUMBER(E492),ISNUMBER(G492)),(G492-E492)*1440,"")</f>
        <v/>
      </c>
      <c r="J492" s="13" t="str">
        <f aca="false">IF(E492="","",IF(ISNUMBER(I492),IF(I492&lt;=60,"OK","VIOLADO"),"Sem contacto"))</f>
        <v/>
      </c>
      <c r="K492" s="13"/>
      <c r="L492" s="13"/>
    </row>
    <row r="493" customFormat="false" ht="15" hidden="false" customHeight="false" outlineLevel="0" collapsed="false">
      <c r="A493" s="12"/>
      <c r="B493" s="12"/>
      <c r="C493" s="12"/>
      <c r="D493" s="12"/>
      <c r="E493" s="23"/>
      <c r="F493" s="13"/>
      <c r="G493" s="23"/>
      <c r="H493" s="13"/>
      <c r="I493" s="15" t="str">
        <f aca="false">IF(AND(ISNUMBER(E493),ISNUMBER(G493)),(G493-E493)*1440,"")</f>
        <v/>
      </c>
      <c r="J493" s="13" t="str">
        <f aca="false">IF(E493="","",IF(ISNUMBER(I493),IF(I493&lt;=60,"OK","VIOLADO"),"Sem contacto"))</f>
        <v/>
      </c>
      <c r="K493" s="13"/>
      <c r="L493" s="13"/>
    </row>
    <row r="494" customFormat="false" ht="15" hidden="false" customHeight="false" outlineLevel="0" collapsed="false">
      <c r="A494" s="12"/>
      <c r="B494" s="12"/>
      <c r="C494" s="12"/>
      <c r="D494" s="12"/>
      <c r="E494" s="23"/>
      <c r="F494" s="13"/>
      <c r="G494" s="23"/>
      <c r="H494" s="13"/>
      <c r="I494" s="15" t="str">
        <f aca="false">IF(AND(ISNUMBER(E494),ISNUMBER(G494)),(G494-E494)*1440,"")</f>
        <v/>
      </c>
      <c r="J494" s="13" t="str">
        <f aca="false">IF(E494="","",IF(ISNUMBER(I494),IF(I494&lt;=60,"OK","VIOLADO"),"Sem contacto"))</f>
        <v/>
      </c>
      <c r="K494" s="13"/>
      <c r="L494" s="13"/>
    </row>
    <row r="495" customFormat="false" ht="15" hidden="false" customHeight="false" outlineLevel="0" collapsed="false">
      <c r="A495" s="12"/>
      <c r="B495" s="12"/>
      <c r="C495" s="12"/>
      <c r="D495" s="12"/>
      <c r="E495" s="23"/>
      <c r="F495" s="13"/>
      <c r="G495" s="23"/>
      <c r="H495" s="13"/>
      <c r="I495" s="15" t="str">
        <f aca="false">IF(AND(ISNUMBER(E495),ISNUMBER(G495)),(G495-E495)*1440,"")</f>
        <v/>
      </c>
      <c r="J495" s="13" t="str">
        <f aca="false">IF(E495="","",IF(ISNUMBER(I495),IF(I495&lt;=60,"OK","VIOLADO"),"Sem contacto"))</f>
        <v/>
      </c>
      <c r="K495" s="13"/>
      <c r="L495" s="13"/>
    </row>
    <row r="496" customFormat="false" ht="15" hidden="false" customHeight="false" outlineLevel="0" collapsed="false">
      <c r="A496" s="12"/>
      <c r="B496" s="12"/>
      <c r="C496" s="12"/>
      <c r="D496" s="12"/>
      <c r="E496" s="23"/>
      <c r="F496" s="13"/>
      <c r="G496" s="23"/>
      <c r="H496" s="13"/>
      <c r="I496" s="15" t="str">
        <f aca="false">IF(AND(ISNUMBER(E496),ISNUMBER(G496)),(G496-E496)*1440,"")</f>
        <v/>
      </c>
      <c r="J496" s="13" t="str">
        <f aca="false">IF(E496="","",IF(ISNUMBER(I496),IF(I496&lt;=60,"OK","VIOLADO"),"Sem contacto"))</f>
        <v/>
      </c>
      <c r="K496" s="13"/>
      <c r="L496" s="13"/>
    </row>
    <row r="497" customFormat="false" ht="15" hidden="false" customHeight="false" outlineLevel="0" collapsed="false">
      <c r="A497" s="12"/>
      <c r="B497" s="12"/>
      <c r="C497" s="12"/>
      <c r="D497" s="12"/>
      <c r="E497" s="23"/>
      <c r="F497" s="13"/>
      <c r="G497" s="23"/>
      <c r="H497" s="13"/>
      <c r="I497" s="15" t="str">
        <f aca="false">IF(AND(ISNUMBER(E497),ISNUMBER(G497)),(G497-E497)*1440,"")</f>
        <v/>
      </c>
      <c r="J497" s="13" t="str">
        <f aca="false">IF(E497="","",IF(ISNUMBER(I497),IF(I497&lt;=60,"OK","VIOLADO"),"Sem contacto"))</f>
        <v/>
      </c>
      <c r="K497" s="13"/>
      <c r="L497" s="13"/>
    </row>
    <row r="498" customFormat="false" ht="15" hidden="false" customHeight="false" outlineLevel="0" collapsed="false">
      <c r="A498" s="12"/>
      <c r="B498" s="12"/>
      <c r="C498" s="12"/>
      <c r="D498" s="12"/>
      <c r="E498" s="23"/>
      <c r="F498" s="13"/>
      <c r="G498" s="23"/>
      <c r="H498" s="13"/>
      <c r="I498" s="15" t="str">
        <f aca="false">IF(AND(ISNUMBER(E498),ISNUMBER(G498)),(G498-E498)*1440,"")</f>
        <v/>
      </c>
      <c r="J498" s="13" t="str">
        <f aca="false">IF(E498="","",IF(ISNUMBER(I498),IF(I498&lt;=60,"OK","VIOLADO"),"Sem contacto"))</f>
        <v/>
      </c>
      <c r="K498" s="13"/>
      <c r="L498" s="13"/>
    </row>
    <row r="499" customFormat="false" ht="15" hidden="false" customHeight="false" outlineLevel="0" collapsed="false">
      <c r="A499" s="12"/>
      <c r="B499" s="12"/>
      <c r="C499" s="12"/>
      <c r="D499" s="12"/>
      <c r="E499" s="23"/>
      <c r="F499" s="13"/>
      <c r="G499" s="23"/>
      <c r="H499" s="13"/>
      <c r="I499" s="15" t="str">
        <f aca="false">IF(AND(ISNUMBER(E499),ISNUMBER(G499)),(G499-E499)*1440,"")</f>
        <v/>
      </c>
      <c r="J499" s="13" t="str">
        <f aca="false">IF(E499="","",IF(ISNUMBER(I499),IF(I499&lt;=60,"OK","VIOLADO"),"Sem contacto"))</f>
        <v/>
      </c>
      <c r="K499" s="13"/>
      <c r="L499" s="13"/>
    </row>
    <row r="500" customFormat="false" ht="15" hidden="false" customHeight="false" outlineLevel="0" collapsed="false">
      <c r="A500" s="12"/>
      <c r="B500" s="12"/>
      <c r="C500" s="12"/>
      <c r="D500" s="12"/>
      <c r="E500" s="23"/>
      <c r="F500" s="13"/>
      <c r="G500" s="23"/>
      <c r="H500" s="13"/>
      <c r="I500" s="15" t="str">
        <f aca="false">IF(AND(ISNUMBER(E500),ISNUMBER(G500)),(G500-E500)*1440,"")</f>
        <v/>
      </c>
      <c r="J500" s="13" t="str">
        <f aca="false">IF(E500="","",IF(ISNUMBER(I500),IF(I500&lt;=60,"OK","VIOLADO"),"Sem contacto"))</f>
        <v/>
      </c>
      <c r="K500" s="13"/>
      <c r="L500" s="13"/>
    </row>
    <row r="501" customFormat="false" ht="15" hidden="false" customHeight="false" outlineLevel="0" collapsed="false">
      <c r="A501" s="12"/>
      <c r="B501" s="12"/>
      <c r="C501" s="12"/>
      <c r="D501" s="12"/>
      <c r="E501" s="23"/>
      <c r="F501" s="13"/>
      <c r="G501" s="23"/>
      <c r="H501" s="13"/>
      <c r="I501" s="15" t="str">
        <f aca="false">IF(AND(ISNUMBER(E501),ISNUMBER(G501)),(G501-E501)*1440,"")</f>
        <v/>
      </c>
      <c r="J501" s="13" t="str">
        <f aca="false">IF(E501="","",IF(ISNUMBER(I501),IF(I501&lt;=60,"OK","VIOLADO"),"Sem contacto"))</f>
        <v/>
      </c>
      <c r="K501" s="13"/>
      <c r="L501" s="13"/>
    </row>
    <row r="502" customFormat="false" ht="15" hidden="false" customHeight="false" outlineLevel="0" collapsed="false">
      <c r="A502" s="12"/>
      <c r="B502" s="12"/>
      <c r="C502" s="12"/>
      <c r="D502" s="12"/>
      <c r="E502" s="23"/>
      <c r="F502" s="13"/>
      <c r="G502" s="23"/>
      <c r="H502" s="13"/>
      <c r="I502" s="15" t="str">
        <f aca="false">IF(AND(ISNUMBER(E502),ISNUMBER(G502)),(G502-E502)*1440,"")</f>
        <v/>
      </c>
      <c r="J502" s="13" t="str">
        <f aca="false">IF(E502="","",IF(ISNUMBER(I502),IF(I502&lt;=60,"OK","VIOLADO"),"Sem contacto"))</f>
        <v/>
      </c>
      <c r="K502" s="13"/>
      <c r="L502" s="13"/>
    </row>
  </sheetData>
  <mergeCells count="1">
    <mergeCell ref="A1:L1"/>
  </mergeCells>
  <conditionalFormatting sqref="J3:J502">
    <cfRule type="cellIs" priority="2" operator="equal" aboveAverage="0" equalAverage="0" bottom="0" percent="0" rank="0" text="" dxfId="3">
      <formula>"OK"</formula>
    </cfRule>
    <cfRule type="cellIs" priority="3" operator="equal" aboveAverage="0" equalAverage="0" bottom="0" percent="0" rank="0" text="" dxfId="4">
      <formula>"VIOLADO"</formula>
    </cfRule>
    <cfRule type="cellIs" priority="4" operator="equal" aboveAverage="0" equalAverage="0" bottom="0" percent="0" rank="0" text="" dxfId="5">
      <formula>"Sem contacto"</formula>
    </cfRule>
  </conditionalFormatting>
  <dataValidations count="1">
    <dataValidation allowBlank="true" errorStyle="stop" operator="between" showDropDown="false" showErrorMessage="false" showInputMessage="false" sqref="F3:F502" type="list">
      <formula1>'14_Equipa'!$B$3:$B$5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7.5" hidden="false" customHeight="true" outlineLevel="0" collapsed="false">
      <c r="A1" s="21" t="s">
        <v>68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7.75" hidden="false" customHeight="true" outlineLevel="0" collapsed="false">
      <c r="A2" s="11" t="s">
        <v>69</v>
      </c>
      <c r="B2" s="11" t="s">
        <v>19</v>
      </c>
      <c r="C2" s="11" t="s">
        <v>18</v>
      </c>
      <c r="D2" s="11" t="s">
        <v>33</v>
      </c>
      <c r="E2" s="11" t="s">
        <v>34</v>
      </c>
      <c r="F2" s="11" t="s">
        <v>60</v>
      </c>
      <c r="G2" s="11" t="s">
        <v>70</v>
      </c>
      <c r="H2" s="11" t="s">
        <v>71</v>
      </c>
      <c r="I2" s="11" t="s">
        <v>36</v>
      </c>
      <c r="J2" s="11" t="s">
        <v>67</v>
      </c>
      <c r="K2" s="11" t="s">
        <v>56</v>
      </c>
    </row>
    <row r="3" customFormat="false" ht="15" hidden="false" customHeight="false" outlineLevel="0" collapsed="false">
      <c r="A3" s="24"/>
      <c r="B3" s="13"/>
      <c r="C3" s="13"/>
      <c r="D3" s="19"/>
      <c r="E3" s="12"/>
      <c r="F3" s="13"/>
      <c r="G3" s="13"/>
      <c r="H3" s="13"/>
      <c r="I3" s="13"/>
      <c r="J3" s="13"/>
      <c r="K3" s="12"/>
    </row>
    <row r="4" customFormat="false" ht="15" hidden="false" customHeight="false" outlineLevel="0" collapsed="false">
      <c r="A4" s="24"/>
      <c r="B4" s="13"/>
      <c r="C4" s="13"/>
      <c r="D4" s="19"/>
      <c r="E4" s="12"/>
      <c r="F4" s="13"/>
      <c r="G4" s="13"/>
      <c r="H4" s="13"/>
      <c r="I4" s="13"/>
      <c r="J4" s="13"/>
      <c r="K4" s="12"/>
    </row>
    <row r="5" customFormat="false" ht="15" hidden="false" customHeight="false" outlineLevel="0" collapsed="false">
      <c r="A5" s="24"/>
      <c r="B5" s="13"/>
      <c r="C5" s="13"/>
      <c r="D5" s="19"/>
      <c r="E5" s="12"/>
      <c r="F5" s="13"/>
      <c r="G5" s="13"/>
      <c r="H5" s="13"/>
      <c r="I5" s="13"/>
      <c r="J5" s="13"/>
      <c r="K5" s="12"/>
    </row>
    <row r="6" customFormat="false" ht="15" hidden="false" customHeight="false" outlineLevel="0" collapsed="false">
      <c r="A6" s="24"/>
      <c r="B6" s="13"/>
      <c r="C6" s="13"/>
      <c r="D6" s="19"/>
      <c r="E6" s="12"/>
      <c r="F6" s="13"/>
      <c r="G6" s="13"/>
      <c r="H6" s="13"/>
      <c r="I6" s="13"/>
      <c r="J6" s="13"/>
      <c r="K6" s="12"/>
    </row>
    <row r="7" customFormat="false" ht="15" hidden="false" customHeight="false" outlineLevel="0" collapsed="false">
      <c r="A7" s="24"/>
      <c r="B7" s="13"/>
      <c r="C7" s="13"/>
      <c r="D7" s="19"/>
      <c r="E7" s="12"/>
      <c r="F7" s="13"/>
      <c r="G7" s="13"/>
      <c r="H7" s="13"/>
      <c r="I7" s="13"/>
      <c r="J7" s="13"/>
      <c r="K7" s="12"/>
    </row>
    <row r="8" customFormat="false" ht="15" hidden="false" customHeight="false" outlineLevel="0" collapsed="false">
      <c r="A8" s="24"/>
      <c r="B8" s="13"/>
      <c r="C8" s="13"/>
      <c r="D8" s="19"/>
      <c r="E8" s="12"/>
      <c r="F8" s="13"/>
      <c r="G8" s="13"/>
      <c r="H8" s="13"/>
      <c r="I8" s="13"/>
      <c r="J8" s="13"/>
      <c r="K8" s="12"/>
    </row>
    <row r="9" customFormat="false" ht="15" hidden="false" customHeight="false" outlineLevel="0" collapsed="false">
      <c r="A9" s="24"/>
      <c r="B9" s="13"/>
      <c r="C9" s="13"/>
      <c r="D9" s="19"/>
      <c r="E9" s="12"/>
      <c r="F9" s="13"/>
      <c r="G9" s="13"/>
      <c r="H9" s="13"/>
      <c r="I9" s="13"/>
      <c r="J9" s="13"/>
      <c r="K9" s="12"/>
    </row>
    <row r="10" customFormat="false" ht="15" hidden="false" customHeight="false" outlineLevel="0" collapsed="false">
      <c r="A10" s="24"/>
      <c r="B10" s="13"/>
      <c r="C10" s="13"/>
      <c r="D10" s="19"/>
      <c r="E10" s="12"/>
      <c r="F10" s="13"/>
      <c r="G10" s="13"/>
      <c r="H10" s="13"/>
      <c r="I10" s="13"/>
      <c r="J10" s="13"/>
      <c r="K10" s="12"/>
    </row>
    <row r="11" customFormat="false" ht="15" hidden="false" customHeight="false" outlineLevel="0" collapsed="false">
      <c r="A11" s="24"/>
      <c r="B11" s="13"/>
      <c r="C11" s="13"/>
      <c r="D11" s="19"/>
      <c r="E11" s="12"/>
      <c r="F11" s="13"/>
      <c r="G11" s="13"/>
      <c r="H11" s="13"/>
      <c r="I11" s="13"/>
      <c r="J11" s="13"/>
      <c r="K11" s="12"/>
    </row>
    <row r="12" customFormat="false" ht="15" hidden="false" customHeight="false" outlineLevel="0" collapsed="false">
      <c r="A12" s="24"/>
      <c r="B12" s="13"/>
      <c r="C12" s="13"/>
      <c r="D12" s="19"/>
      <c r="E12" s="12"/>
      <c r="F12" s="13"/>
      <c r="G12" s="13"/>
      <c r="H12" s="13"/>
      <c r="I12" s="13"/>
      <c r="J12" s="13"/>
      <c r="K12" s="12"/>
    </row>
    <row r="13" customFormat="false" ht="15" hidden="false" customHeight="false" outlineLevel="0" collapsed="false">
      <c r="A13" s="24"/>
      <c r="B13" s="13"/>
      <c r="C13" s="13"/>
      <c r="D13" s="19"/>
      <c r="E13" s="12"/>
      <c r="F13" s="13"/>
      <c r="G13" s="13"/>
      <c r="H13" s="13"/>
      <c r="I13" s="13"/>
      <c r="J13" s="13"/>
      <c r="K13" s="12"/>
    </row>
    <row r="14" customFormat="false" ht="15" hidden="false" customHeight="false" outlineLevel="0" collapsed="false">
      <c r="A14" s="24"/>
      <c r="B14" s="13"/>
      <c r="C14" s="13"/>
      <c r="D14" s="19"/>
      <c r="E14" s="12"/>
      <c r="F14" s="13"/>
      <c r="G14" s="13"/>
      <c r="H14" s="13"/>
      <c r="I14" s="13"/>
      <c r="J14" s="13"/>
      <c r="K14" s="12"/>
    </row>
    <row r="15" customFormat="false" ht="15" hidden="false" customHeight="false" outlineLevel="0" collapsed="false">
      <c r="A15" s="24"/>
      <c r="B15" s="13"/>
      <c r="C15" s="13"/>
      <c r="D15" s="19"/>
      <c r="E15" s="12"/>
      <c r="F15" s="13"/>
      <c r="G15" s="13"/>
      <c r="H15" s="13"/>
      <c r="I15" s="13"/>
      <c r="J15" s="13"/>
      <c r="K15" s="12"/>
    </row>
    <row r="16" customFormat="false" ht="15" hidden="false" customHeight="false" outlineLevel="0" collapsed="false">
      <c r="A16" s="24"/>
      <c r="B16" s="13"/>
      <c r="C16" s="13"/>
      <c r="D16" s="19"/>
      <c r="E16" s="12"/>
      <c r="F16" s="13"/>
      <c r="G16" s="13"/>
      <c r="H16" s="13"/>
      <c r="I16" s="13"/>
      <c r="J16" s="13"/>
      <c r="K16" s="12"/>
    </row>
    <row r="17" customFormat="false" ht="15" hidden="false" customHeight="false" outlineLevel="0" collapsed="false">
      <c r="A17" s="24"/>
      <c r="B17" s="13"/>
      <c r="C17" s="13"/>
      <c r="D17" s="19"/>
      <c r="E17" s="12"/>
      <c r="F17" s="13"/>
      <c r="G17" s="13"/>
      <c r="H17" s="13"/>
      <c r="I17" s="13"/>
      <c r="J17" s="13"/>
      <c r="K17" s="12"/>
    </row>
    <row r="18" customFormat="false" ht="15" hidden="false" customHeight="false" outlineLevel="0" collapsed="false">
      <c r="A18" s="24"/>
      <c r="B18" s="13"/>
      <c r="C18" s="13"/>
      <c r="D18" s="19"/>
      <c r="E18" s="12"/>
      <c r="F18" s="13"/>
      <c r="G18" s="13"/>
      <c r="H18" s="13"/>
      <c r="I18" s="13"/>
      <c r="J18" s="13"/>
      <c r="K18" s="12"/>
    </row>
    <row r="19" customFormat="false" ht="15" hidden="false" customHeight="false" outlineLevel="0" collapsed="false">
      <c r="A19" s="24"/>
      <c r="B19" s="13"/>
      <c r="C19" s="13"/>
      <c r="D19" s="19"/>
      <c r="E19" s="12"/>
      <c r="F19" s="13"/>
      <c r="G19" s="13"/>
      <c r="H19" s="13"/>
      <c r="I19" s="13"/>
      <c r="J19" s="13"/>
      <c r="K19" s="12"/>
    </row>
    <row r="20" customFormat="false" ht="15" hidden="false" customHeight="false" outlineLevel="0" collapsed="false">
      <c r="A20" s="24"/>
      <c r="B20" s="13"/>
      <c r="C20" s="13"/>
      <c r="D20" s="19"/>
      <c r="E20" s="12"/>
      <c r="F20" s="13"/>
      <c r="G20" s="13"/>
      <c r="H20" s="13"/>
      <c r="I20" s="13"/>
      <c r="J20" s="13"/>
      <c r="K20" s="12"/>
    </row>
    <row r="21" customFormat="false" ht="15" hidden="false" customHeight="false" outlineLevel="0" collapsed="false">
      <c r="A21" s="24"/>
      <c r="B21" s="13"/>
      <c r="C21" s="13"/>
      <c r="D21" s="19"/>
      <c r="E21" s="12"/>
      <c r="F21" s="13"/>
      <c r="G21" s="13"/>
      <c r="H21" s="13"/>
      <c r="I21" s="13"/>
      <c r="J21" s="13"/>
      <c r="K21" s="12"/>
    </row>
    <row r="22" customFormat="false" ht="15" hidden="false" customHeight="false" outlineLevel="0" collapsed="false">
      <c r="A22" s="24"/>
      <c r="B22" s="13"/>
      <c r="C22" s="13"/>
      <c r="D22" s="19"/>
      <c r="E22" s="12"/>
      <c r="F22" s="13"/>
      <c r="G22" s="13"/>
      <c r="H22" s="13"/>
      <c r="I22" s="13"/>
      <c r="J22" s="13"/>
      <c r="K22" s="12"/>
    </row>
    <row r="23" customFormat="false" ht="15" hidden="false" customHeight="false" outlineLevel="0" collapsed="false">
      <c r="A23" s="24"/>
      <c r="B23" s="13"/>
      <c r="C23" s="13"/>
      <c r="D23" s="19"/>
      <c r="E23" s="12"/>
      <c r="F23" s="13"/>
      <c r="G23" s="13"/>
      <c r="H23" s="13"/>
      <c r="I23" s="13"/>
      <c r="J23" s="13"/>
      <c r="K23" s="12"/>
    </row>
    <row r="24" customFormat="false" ht="15" hidden="false" customHeight="false" outlineLevel="0" collapsed="false">
      <c r="A24" s="24"/>
      <c r="B24" s="13"/>
      <c r="C24" s="13"/>
      <c r="D24" s="19"/>
      <c r="E24" s="12"/>
      <c r="F24" s="13"/>
      <c r="G24" s="13"/>
      <c r="H24" s="13"/>
      <c r="I24" s="13"/>
      <c r="J24" s="13"/>
      <c r="K24" s="12"/>
    </row>
    <row r="25" customFormat="false" ht="15" hidden="false" customHeight="false" outlineLevel="0" collapsed="false">
      <c r="A25" s="24"/>
      <c r="B25" s="13"/>
      <c r="C25" s="13"/>
      <c r="D25" s="19"/>
      <c r="E25" s="12"/>
      <c r="F25" s="13"/>
      <c r="G25" s="13"/>
      <c r="H25" s="13"/>
      <c r="I25" s="13"/>
      <c r="J25" s="13"/>
      <c r="K25" s="12"/>
    </row>
    <row r="26" customFormat="false" ht="15" hidden="false" customHeight="false" outlineLevel="0" collapsed="false">
      <c r="A26" s="24"/>
      <c r="B26" s="13"/>
      <c r="C26" s="13"/>
      <c r="D26" s="19"/>
      <c r="E26" s="12"/>
      <c r="F26" s="13"/>
      <c r="G26" s="13"/>
      <c r="H26" s="13"/>
      <c r="I26" s="13"/>
      <c r="J26" s="13"/>
      <c r="K26" s="12"/>
    </row>
    <row r="27" customFormat="false" ht="15" hidden="false" customHeight="false" outlineLevel="0" collapsed="false">
      <c r="A27" s="24"/>
      <c r="B27" s="13"/>
      <c r="C27" s="13"/>
      <c r="D27" s="19"/>
      <c r="E27" s="12"/>
      <c r="F27" s="13"/>
      <c r="G27" s="13"/>
      <c r="H27" s="13"/>
      <c r="I27" s="13"/>
      <c r="J27" s="13"/>
      <c r="K27" s="12"/>
    </row>
    <row r="28" customFormat="false" ht="15" hidden="false" customHeight="false" outlineLevel="0" collapsed="false">
      <c r="A28" s="24"/>
      <c r="B28" s="13"/>
      <c r="C28" s="13"/>
      <c r="D28" s="19"/>
      <c r="E28" s="12"/>
      <c r="F28" s="13"/>
      <c r="G28" s="13"/>
      <c r="H28" s="13"/>
      <c r="I28" s="13"/>
      <c r="J28" s="13"/>
      <c r="K28" s="12"/>
    </row>
    <row r="29" customFormat="false" ht="15" hidden="false" customHeight="false" outlineLevel="0" collapsed="false">
      <c r="A29" s="24"/>
      <c r="B29" s="13"/>
      <c r="C29" s="13"/>
      <c r="D29" s="19"/>
      <c r="E29" s="12"/>
      <c r="F29" s="13"/>
      <c r="G29" s="13"/>
      <c r="H29" s="13"/>
      <c r="I29" s="13"/>
      <c r="J29" s="13"/>
      <c r="K29" s="12"/>
    </row>
    <row r="30" customFormat="false" ht="15" hidden="false" customHeight="false" outlineLevel="0" collapsed="false">
      <c r="A30" s="24"/>
      <c r="B30" s="13"/>
      <c r="C30" s="13"/>
      <c r="D30" s="19"/>
      <c r="E30" s="12"/>
      <c r="F30" s="13"/>
      <c r="G30" s="13"/>
      <c r="H30" s="13"/>
      <c r="I30" s="13"/>
      <c r="J30" s="13"/>
      <c r="K30" s="12"/>
    </row>
    <row r="31" customFormat="false" ht="15" hidden="false" customHeight="false" outlineLevel="0" collapsed="false">
      <c r="A31" s="24"/>
      <c r="B31" s="13"/>
      <c r="C31" s="13"/>
      <c r="D31" s="19"/>
      <c r="E31" s="12"/>
      <c r="F31" s="13"/>
      <c r="G31" s="13"/>
      <c r="H31" s="13"/>
      <c r="I31" s="13"/>
      <c r="J31" s="13"/>
      <c r="K31" s="12"/>
    </row>
    <row r="32" customFormat="false" ht="15" hidden="false" customHeight="false" outlineLevel="0" collapsed="false">
      <c r="A32" s="24"/>
      <c r="B32" s="13"/>
      <c r="C32" s="13"/>
      <c r="D32" s="19"/>
      <c r="E32" s="12"/>
      <c r="F32" s="13"/>
      <c r="G32" s="13"/>
      <c r="H32" s="13"/>
      <c r="I32" s="13"/>
      <c r="J32" s="13"/>
      <c r="K32" s="12"/>
    </row>
    <row r="33" customFormat="false" ht="15" hidden="false" customHeight="false" outlineLevel="0" collapsed="false">
      <c r="A33" s="24"/>
      <c r="B33" s="13"/>
      <c r="C33" s="13"/>
      <c r="D33" s="19"/>
      <c r="E33" s="12"/>
      <c r="F33" s="13"/>
      <c r="G33" s="13"/>
      <c r="H33" s="13"/>
      <c r="I33" s="13"/>
      <c r="J33" s="13"/>
      <c r="K33" s="12"/>
    </row>
    <row r="34" customFormat="false" ht="15" hidden="false" customHeight="false" outlineLevel="0" collapsed="false">
      <c r="A34" s="24"/>
      <c r="B34" s="13"/>
      <c r="C34" s="13"/>
      <c r="D34" s="19"/>
      <c r="E34" s="12"/>
      <c r="F34" s="13"/>
      <c r="G34" s="13"/>
      <c r="H34" s="13"/>
      <c r="I34" s="13"/>
      <c r="J34" s="13"/>
      <c r="K34" s="12"/>
    </row>
    <row r="35" customFormat="false" ht="15" hidden="false" customHeight="false" outlineLevel="0" collapsed="false">
      <c r="A35" s="24"/>
      <c r="B35" s="13"/>
      <c r="C35" s="13"/>
      <c r="D35" s="19"/>
      <c r="E35" s="12"/>
      <c r="F35" s="13"/>
      <c r="G35" s="13"/>
      <c r="H35" s="13"/>
      <c r="I35" s="13"/>
      <c r="J35" s="13"/>
      <c r="K35" s="12"/>
    </row>
    <row r="36" customFormat="false" ht="15" hidden="false" customHeight="false" outlineLevel="0" collapsed="false">
      <c r="A36" s="24"/>
      <c r="B36" s="13"/>
      <c r="C36" s="13"/>
      <c r="D36" s="19"/>
      <c r="E36" s="12"/>
      <c r="F36" s="13"/>
      <c r="G36" s="13"/>
      <c r="H36" s="13"/>
      <c r="I36" s="13"/>
      <c r="J36" s="13"/>
      <c r="K36" s="12"/>
    </row>
    <row r="37" customFormat="false" ht="15" hidden="false" customHeight="false" outlineLevel="0" collapsed="false">
      <c r="A37" s="24"/>
      <c r="B37" s="13"/>
      <c r="C37" s="13"/>
      <c r="D37" s="19"/>
      <c r="E37" s="12"/>
      <c r="F37" s="13"/>
      <c r="G37" s="13"/>
      <c r="H37" s="13"/>
      <c r="I37" s="13"/>
      <c r="J37" s="13"/>
      <c r="K37" s="12"/>
    </row>
    <row r="38" customFormat="false" ht="15" hidden="false" customHeight="false" outlineLevel="0" collapsed="false">
      <c r="A38" s="24"/>
      <c r="B38" s="13"/>
      <c r="C38" s="13"/>
      <c r="D38" s="19"/>
      <c r="E38" s="12"/>
      <c r="F38" s="13"/>
      <c r="G38" s="13"/>
      <c r="H38" s="13"/>
      <c r="I38" s="13"/>
      <c r="J38" s="13"/>
      <c r="K38" s="12"/>
    </row>
    <row r="39" customFormat="false" ht="15" hidden="false" customHeight="false" outlineLevel="0" collapsed="false">
      <c r="A39" s="24"/>
      <c r="B39" s="13"/>
      <c r="C39" s="13"/>
      <c r="D39" s="19"/>
      <c r="E39" s="12"/>
      <c r="F39" s="13"/>
      <c r="G39" s="13"/>
      <c r="H39" s="13"/>
      <c r="I39" s="13"/>
      <c r="J39" s="13"/>
      <c r="K39" s="12"/>
    </row>
    <row r="40" customFormat="false" ht="15" hidden="false" customHeight="false" outlineLevel="0" collapsed="false">
      <c r="A40" s="24"/>
      <c r="B40" s="13"/>
      <c r="C40" s="13"/>
      <c r="D40" s="19"/>
      <c r="E40" s="12"/>
      <c r="F40" s="13"/>
      <c r="G40" s="13"/>
      <c r="H40" s="13"/>
      <c r="I40" s="13"/>
      <c r="J40" s="13"/>
      <c r="K40" s="12"/>
    </row>
    <row r="41" customFormat="false" ht="15" hidden="false" customHeight="false" outlineLevel="0" collapsed="false">
      <c r="A41" s="24"/>
      <c r="B41" s="13"/>
      <c r="C41" s="13"/>
      <c r="D41" s="19"/>
      <c r="E41" s="12"/>
      <c r="F41" s="13"/>
      <c r="G41" s="13"/>
      <c r="H41" s="13"/>
      <c r="I41" s="13"/>
      <c r="J41" s="13"/>
      <c r="K41" s="12"/>
    </row>
    <row r="42" customFormat="false" ht="15" hidden="false" customHeight="false" outlineLevel="0" collapsed="false">
      <c r="A42" s="24"/>
      <c r="B42" s="13"/>
      <c r="C42" s="13"/>
      <c r="D42" s="19"/>
      <c r="E42" s="12"/>
      <c r="F42" s="13"/>
      <c r="G42" s="13"/>
      <c r="H42" s="13"/>
      <c r="I42" s="13"/>
      <c r="J42" s="13"/>
      <c r="K42" s="12"/>
    </row>
    <row r="43" customFormat="false" ht="15" hidden="false" customHeight="false" outlineLevel="0" collapsed="false">
      <c r="A43" s="24"/>
      <c r="B43" s="13"/>
      <c r="C43" s="13"/>
      <c r="D43" s="19"/>
      <c r="E43" s="12"/>
      <c r="F43" s="13"/>
      <c r="G43" s="13"/>
      <c r="H43" s="13"/>
      <c r="I43" s="13"/>
      <c r="J43" s="13"/>
      <c r="K43" s="12"/>
    </row>
    <row r="44" customFormat="false" ht="15" hidden="false" customHeight="false" outlineLevel="0" collapsed="false">
      <c r="A44" s="24"/>
      <c r="B44" s="13"/>
      <c r="C44" s="13"/>
      <c r="D44" s="19"/>
      <c r="E44" s="12"/>
      <c r="F44" s="13"/>
      <c r="G44" s="13"/>
      <c r="H44" s="13"/>
      <c r="I44" s="13"/>
      <c r="J44" s="13"/>
      <c r="K44" s="12"/>
    </row>
    <row r="45" customFormat="false" ht="15" hidden="false" customHeight="false" outlineLevel="0" collapsed="false">
      <c r="A45" s="24"/>
      <c r="B45" s="13"/>
      <c r="C45" s="13"/>
      <c r="D45" s="19"/>
      <c r="E45" s="12"/>
      <c r="F45" s="13"/>
      <c r="G45" s="13"/>
      <c r="H45" s="13"/>
      <c r="I45" s="13"/>
      <c r="J45" s="13"/>
      <c r="K45" s="12"/>
    </row>
    <row r="46" customFormat="false" ht="15" hidden="false" customHeight="false" outlineLevel="0" collapsed="false">
      <c r="A46" s="24"/>
      <c r="B46" s="13"/>
      <c r="C46" s="13"/>
      <c r="D46" s="19"/>
      <c r="E46" s="12"/>
      <c r="F46" s="13"/>
      <c r="G46" s="13"/>
      <c r="H46" s="13"/>
      <c r="I46" s="13"/>
      <c r="J46" s="13"/>
      <c r="K46" s="12"/>
    </row>
    <row r="47" customFormat="false" ht="15" hidden="false" customHeight="false" outlineLevel="0" collapsed="false">
      <c r="A47" s="24"/>
      <c r="B47" s="13"/>
      <c r="C47" s="13"/>
      <c r="D47" s="19"/>
      <c r="E47" s="12"/>
      <c r="F47" s="13"/>
      <c r="G47" s="13"/>
      <c r="H47" s="13"/>
      <c r="I47" s="13"/>
      <c r="J47" s="13"/>
      <c r="K47" s="12"/>
    </row>
    <row r="48" customFormat="false" ht="15" hidden="false" customHeight="false" outlineLevel="0" collapsed="false">
      <c r="A48" s="24"/>
      <c r="B48" s="13"/>
      <c r="C48" s="13"/>
      <c r="D48" s="19"/>
      <c r="E48" s="12"/>
      <c r="F48" s="13"/>
      <c r="G48" s="13"/>
      <c r="H48" s="13"/>
      <c r="I48" s="13"/>
      <c r="J48" s="13"/>
      <c r="K48" s="12"/>
    </row>
    <row r="49" customFormat="false" ht="15" hidden="false" customHeight="false" outlineLevel="0" collapsed="false">
      <c r="A49" s="24"/>
      <c r="B49" s="13"/>
      <c r="C49" s="13"/>
      <c r="D49" s="19"/>
      <c r="E49" s="12"/>
      <c r="F49" s="13"/>
      <c r="G49" s="13"/>
      <c r="H49" s="13"/>
      <c r="I49" s="13"/>
      <c r="J49" s="13"/>
      <c r="K49" s="12"/>
    </row>
    <row r="50" customFormat="false" ht="15" hidden="false" customHeight="false" outlineLevel="0" collapsed="false">
      <c r="A50" s="24"/>
      <c r="B50" s="13"/>
      <c r="C50" s="13"/>
      <c r="D50" s="19"/>
      <c r="E50" s="12"/>
      <c r="F50" s="13"/>
      <c r="G50" s="13"/>
      <c r="H50" s="13"/>
      <c r="I50" s="13"/>
      <c r="J50" s="13"/>
      <c r="K50" s="12"/>
    </row>
    <row r="51" customFormat="false" ht="15" hidden="false" customHeight="false" outlineLevel="0" collapsed="false">
      <c r="A51" s="24"/>
      <c r="B51" s="13"/>
      <c r="C51" s="13"/>
      <c r="D51" s="19"/>
      <c r="E51" s="12"/>
      <c r="F51" s="13"/>
      <c r="G51" s="13"/>
      <c r="H51" s="13"/>
      <c r="I51" s="13"/>
      <c r="J51" s="13"/>
      <c r="K51" s="12"/>
    </row>
    <row r="52" customFormat="false" ht="15" hidden="false" customHeight="false" outlineLevel="0" collapsed="false">
      <c r="A52" s="24"/>
      <c r="B52" s="13"/>
      <c r="C52" s="13"/>
      <c r="D52" s="19"/>
      <c r="E52" s="12"/>
      <c r="F52" s="13"/>
      <c r="G52" s="13"/>
      <c r="H52" s="13"/>
      <c r="I52" s="13"/>
      <c r="J52" s="13"/>
      <c r="K52" s="12"/>
    </row>
    <row r="53" customFormat="false" ht="15" hidden="false" customHeight="false" outlineLevel="0" collapsed="false">
      <c r="A53" s="24"/>
      <c r="B53" s="13"/>
      <c r="C53" s="13"/>
      <c r="D53" s="19"/>
      <c r="E53" s="12"/>
      <c r="F53" s="13"/>
      <c r="G53" s="13"/>
      <c r="H53" s="13"/>
      <c r="I53" s="13"/>
      <c r="J53" s="13"/>
      <c r="K53" s="12"/>
    </row>
    <row r="54" customFormat="false" ht="15" hidden="false" customHeight="false" outlineLevel="0" collapsed="false">
      <c r="A54" s="24"/>
      <c r="B54" s="13"/>
      <c r="C54" s="13"/>
      <c r="D54" s="19"/>
      <c r="E54" s="12"/>
      <c r="F54" s="13"/>
      <c r="G54" s="13"/>
      <c r="H54" s="13"/>
      <c r="I54" s="13"/>
      <c r="J54" s="13"/>
      <c r="K54" s="12"/>
    </row>
    <row r="55" customFormat="false" ht="15" hidden="false" customHeight="false" outlineLevel="0" collapsed="false">
      <c r="A55" s="24"/>
      <c r="B55" s="13"/>
      <c r="C55" s="13"/>
      <c r="D55" s="19"/>
      <c r="E55" s="12"/>
      <c r="F55" s="13"/>
      <c r="G55" s="13"/>
      <c r="H55" s="13"/>
      <c r="I55" s="13"/>
      <c r="J55" s="13"/>
      <c r="K55" s="12"/>
    </row>
    <row r="56" customFormat="false" ht="15" hidden="false" customHeight="false" outlineLevel="0" collapsed="false">
      <c r="A56" s="24"/>
      <c r="B56" s="13"/>
      <c r="C56" s="13"/>
      <c r="D56" s="19"/>
      <c r="E56" s="12"/>
      <c r="F56" s="13"/>
      <c r="G56" s="13"/>
      <c r="H56" s="13"/>
      <c r="I56" s="13"/>
      <c r="J56" s="13"/>
      <c r="K56" s="12"/>
    </row>
    <row r="57" customFormat="false" ht="15" hidden="false" customHeight="false" outlineLevel="0" collapsed="false">
      <c r="A57" s="24"/>
      <c r="B57" s="13"/>
      <c r="C57" s="13"/>
      <c r="D57" s="19"/>
      <c r="E57" s="12"/>
      <c r="F57" s="13"/>
      <c r="G57" s="13"/>
      <c r="H57" s="13"/>
      <c r="I57" s="13"/>
      <c r="J57" s="13"/>
      <c r="K57" s="12"/>
    </row>
    <row r="58" customFormat="false" ht="15" hidden="false" customHeight="false" outlineLevel="0" collapsed="false">
      <c r="A58" s="24"/>
      <c r="B58" s="13"/>
      <c r="C58" s="13"/>
      <c r="D58" s="19"/>
      <c r="E58" s="12"/>
      <c r="F58" s="13"/>
      <c r="G58" s="13"/>
      <c r="H58" s="13"/>
      <c r="I58" s="13"/>
      <c r="J58" s="13"/>
      <c r="K58" s="12"/>
    </row>
    <row r="59" customFormat="false" ht="15" hidden="false" customHeight="false" outlineLevel="0" collapsed="false">
      <c r="A59" s="24"/>
      <c r="B59" s="13"/>
      <c r="C59" s="13"/>
      <c r="D59" s="19"/>
      <c r="E59" s="12"/>
      <c r="F59" s="13"/>
      <c r="G59" s="13"/>
      <c r="H59" s="13"/>
      <c r="I59" s="13"/>
      <c r="J59" s="13"/>
      <c r="K59" s="12"/>
    </row>
    <row r="60" customFormat="false" ht="15" hidden="false" customHeight="false" outlineLevel="0" collapsed="false">
      <c r="A60" s="24"/>
      <c r="B60" s="13"/>
      <c r="C60" s="13"/>
      <c r="D60" s="19"/>
      <c r="E60" s="12"/>
      <c r="F60" s="13"/>
      <c r="G60" s="13"/>
      <c r="H60" s="13"/>
      <c r="I60" s="13"/>
      <c r="J60" s="13"/>
      <c r="K60" s="12"/>
    </row>
    <row r="61" customFormat="false" ht="15" hidden="false" customHeight="false" outlineLevel="0" collapsed="false">
      <c r="A61" s="24"/>
      <c r="B61" s="13"/>
      <c r="C61" s="13"/>
      <c r="D61" s="19"/>
      <c r="E61" s="12"/>
      <c r="F61" s="13"/>
      <c r="G61" s="13"/>
      <c r="H61" s="13"/>
      <c r="I61" s="13"/>
      <c r="J61" s="13"/>
      <c r="K61" s="12"/>
    </row>
    <row r="62" customFormat="false" ht="15" hidden="false" customHeight="false" outlineLevel="0" collapsed="false">
      <c r="A62" s="24"/>
      <c r="B62" s="13"/>
      <c r="C62" s="13"/>
      <c r="D62" s="19"/>
      <c r="E62" s="12"/>
      <c r="F62" s="13"/>
      <c r="G62" s="13"/>
      <c r="H62" s="13"/>
      <c r="I62" s="13"/>
      <c r="J62" s="13"/>
      <c r="K62" s="12"/>
    </row>
    <row r="63" customFormat="false" ht="15" hidden="false" customHeight="false" outlineLevel="0" collapsed="false">
      <c r="A63" s="24"/>
      <c r="B63" s="13"/>
      <c r="C63" s="13"/>
      <c r="D63" s="19"/>
      <c r="E63" s="12"/>
      <c r="F63" s="13"/>
      <c r="G63" s="13"/>
      <c r="H63" s="13"/>
      <c r="I63" s="13"/>
      <c r="J63" s="13"/>
      <c r="K63" s="12"/>
    </row>
    <row r="64" customFormat="false" ht="15" hidden="false" customHeight="false" outlineLevel="0" collapsed="false">
      <c r="A64" s="24"/>
      <c r="B64" s="13"/>
      <c r="C64" s="13"/>
      <c r="D64" s="19"/>
      <c r="E64" s="12"/>
      <c r="F64" s="13"/>
      <c r="G64" s="13"/>
      <c r="H64" s="13"/>
      <c r="I64" s="13"/>
      <c r="J64" s="13"/>
      <c r="K64" s="12"/>
    </row>
    <row r="65" customFormat="false" ht="15" hidden="false" customHeight="false" outlineLevel="0" collapsed="false">
      <c r="A65" s="24"/>
      <c r="B65" s="13"/>
      <c r="C65" s="13"/>
      <c r="D65" s="19"/>
      <c r="E65" s="12"/>
      <c r="F65" s="13"/>
      <c r="G65" s="13"/>
      <c r="H65" s="13"/>
      <c r="I65" s="13"/>
      <c r="J65" s="13"/>
      <c r="K65" s="12"/>
    </row>
    <row r="66" customFormat="false" ht="15" hidden="false" customHeight="false" outlineLevel="0" collapsed="false">
      <c r="A66" s="24"/>
      <c r="B66" s="13"/>
      <c r="C66" s="13"/>
      <c r="D66" s="19"/>
      <c r="E66" s="12"/>
      <c r="F66" s="13"/>
      <c r="G66" s="13"/>
      <c r="H66" s="13"/>
      <c r="I66" s="13"/>
      <c r="J66" s="13"/>
      <c r="K66" s="12"/>
    </row>
    <row r="67" customFormat="false" ht="15" hidden="false" customHeight="false" outlineLevel="0" collapsed="false">
      <c r="A67" s="24"/>
      <c r="B67" s="13"/>
      <c r="C67" s="13"/>
      <c r="D67" s="19"/>
      <c r="E67" s="12"/>
      <c r="F67" s="13"/>
      <c r="G67" s="13"/>
      <c r="H67" s="13"/>
      <c r="I67" s="13"/>
      <c r="J67" s="13"/>
      <c r="K67" s="12"/>
    </row>
    <row r="68" customFormat="false" ht="15" hidden="false" customHeight="false" outlineLevel="0" collapsed="false">
      <c r="A68" s="24"/>
      <c r="B68" s="13"/>
      <c r="C68" s="13"/>
      <c r="D68" s="19"/>
      <c r="E68" s="12"/>
      <c r="F68" s="13"/>
      <c r="G68" s="13"/>
      <c r="H68" s="13"/>
      <c r="I68" s="13"/>
      <c r="J68" s="13"/>
      <c r="K68" s="12"/>
    </row>
    <row r="69" customFormat="false" ht="15" hidden="false" customHeight="false" outlineLevel="0" collapsed="false">
      <c r="A69" s="24"/>
      <c r="B69" s="13"/>
      <c r="C69" s="13"/>
      <c r="D69" s="19"/>
      <c r="E69" s="12"/>
      <c r="F69" s="13"/>
      <c r="G69" s="13"/>
      <c r="H69" s="13"/>
      <c r="I69" s="13"/>
      <c r="J69" s="13"/>
      <c r="K69" s="12"/>
    </row>
    <row r="70" customFormat="false" ht="15" hidden="false" customHeight="false" outlineLevel="0" collapsed="false">
      <c r="A70" s="24"/>
      <c r="B70" s="13"/>
      <c r="C70" s="13"/>
      <c r="D70" s="19"/>
      <c r="E70" s="12"/>
      <c r="F70" s="13"/>
      <c r="G70" s="13"/>
      <c r="H70" s="13"/>
      <c r="I70" s="13"/>
      <c r="J70" s="13"/>
      <c r="K70" s="12"/>
    </row>
    <row r="71" customFormat="false" ht="15" hidden="false" customHeight="false" outlineLevel="0" collapsed="false">
      <c r="A71" s="24"/>
      <c r="B71" s="13"/>
      <c r="C71" s="13"/>
      <c r="D71" s="19"/>
      <c r="E71" s="12"/>
      <c r="F71" s="13"/>
      <c r="G71" s="13"/>
      <c r="H71" s="13"/>
      <c r="I71" s="13"/>
      <c r="J71" s="13"/>
      <c r="K71" s="12"/>
    </row>
    <row r="72" customFormat="false" ht="15" hidden="false" customHeight="false" outlineLevel="0" collapsed="false">
      <c r="A72" s="24"/>
      <c r="B72" s="13"/>
      <c r="C72" s="13"/>
      <c r="D72" s="19"/>
      <c r="E72" s="12"/>
      <c r="F72" s="13"/>
      <c r="G72" s="13"/>
      <c r="H72" s="13"/>
      <c r="I72" s="13"/>
      <c r="J72" s="13"/>
      <c r="K72" s="12"/>
    </row>
    <row r="73" customFormat="false" ht="15" hidden="false" customHeight="false" outlineLevel="0" collapsed="false">
      <c r="A73" s="24"/>
      <c r="B73" s="13"/>
      <c r="C73" s="13"/>
      <c r="D73" s="19"/>
      <c r="E73" s="12"/>
      <c r="F73" s="13"/>
      <c r="G73" s="13"/>
      <c r="H73" s="13"/>
      <c r="I73" s="13"/>
      <c r="J73" s="13"/>
      <c r="K73" s="12"/>
    </row>
    <row r="74" customFormat="false" ht="15" hidden="false" customHeight="false" outlineLevel="0" collapsed="false">
      <c r="A74" s="24"/>
      <c r="B74" s="13"/>
      <c r="C74" s="13"/>
      <c r="D74" s="19"/>
      <c r="E74" s="12"/>
      <c r="F74" s="13"/>
      <c r="G74" s="13"/>
      <c r="H74" s="13"/>
      <c r="I74" s="13"/>
      <c r="J74" s="13"/>
      <c r="K74" s="12"/>
    </row>
    <row r="75" customFormat="false" ht="15" hidden="false" customHeight="false" outlineLevel="0" collapsed="false">
      <c r="A75" s="24"/>
      <c r="B75" s="13"/>
      <c r="C75" s="13"/>
      <c r="D75" s="19"/>
      <c r="E75" s="12"/>
      <c r="F75" s="13"/>
      <c r="G75" s="13"/>
      <c r="H75" s="13"/>
      <c r="I75" s="13"/>
      <c r="J75" s="13"/>
      <c r="K75" s="12"/>
    </row>
    <row r="76" customFormat="false" ht="15" hidden="false" customHeight="false" outlineLevel="0" collapsed="false">
      <c r="A76" s="24"/>
      <c r="B76" s="13"/>
      <c r="C76" s="13"/>
      <c r="D76" s="19"/>
      <c r="E76" s="12"/>
      <c r="F76" s="13"/>
      <c r="G76" s="13"/>
      <c r="H76" s="13"/>
      <c r="I76" s="13"/>
      <c r="J76" s="13"/>
      <c r="K76" s="12"/>
    </row>
    <row r="77" customFormat="false" ht="15" hidden="false" customHeight="false" outlineLevel="0" collapsed="false">
      <c r="A77" s="24"/>
      <c r="B77" s="13"/>
      <c r="C77" s="13"/>
      <c r="D77" s="19"/>
      <c r="E77" s="12"/>
      <c r="F77" s="13"/>
      <c r="G77" s="13"/>
      <c r="H77" s="13"/>
      <c r="I77" s="13"/>
      <c r="J77" s="13"/>
      <c r="K77" s="12"/>
    </row>
    <row r="78" customFormat="false" ht="15" hidden="false" customHeight="false" outlineLevel="0" collapsed="false">
      <c r="A78" s="24"/>
      <c r="B78" s="13"/>
      <c r="C78" s="13"/>
      <c r="D78" s="19"/>
      <c r="E78" s="12"/>
      <c r="F78" s="13"/>
      <c r="G78" s="13"/>
      <c r="H78" s="13"/>
      <c r="I78" s="13"/>
      <c r="J78" s="13"/>
      <c r="K78" s="12"/>
    </row>
    <row r="79" customFormat="false" ht="15" hidden="false" customHeight="false" outlineLevel="0" collapsed="false">
      <c r="A79" s="24"/>
      <c r="B79" s="13"/>
      <c r="C79" s="13"/>
      <c r="D79" s="19"/>
      <c r="E79" s="12"/>
      <c r="F79" s="13"/>
      <c r="G79" s="13"/>
      <c r="H79" s="13"/>
      <c r="I79" s="13"/>
      <c r="J79" s="13"/>
      <c r="K79" s="12"/>
    </row>
    <row r="80" customFormat="false" ht="15" hidden="false" customHeight="false" outlineLevel="0" collapsed="false">
      <c r="A80" s="24"/>
      <c r="B80" s="13"/>
      <c r="C80" s="13"/>
      <c r="D80" s="19"/>
      <c r="E80" s="12"/>
      <c r="F80" s="13"/>
      <c r="G80" s="13"/>
      <c r="H80" s="13"/>
      <c r="I80" s="13"/>
      <c r="J80" s="13"/>
      <c r="K80" s="12"/>
    </row>
    <row r="81" customFormat="false" ht="15" hidden="false" customHeight="false" outlineLevel="0" collapsed="false">
      <c r="A81" s="24"/>
      <c r="B81" s="13"/>
      <c r="C81" s="13"/>
      <c r="D81" s="19"/>
      <c r="E81" s="12"/>
      <c r="F81" s="13"/>
      <c r="G81" s="13"/>
      <c r="H81" s="13"/>
      <c r="I81" s="13"/>
      <c r="J81" s="13"/>
      <c r="K81" s="12"/>
    </row>
    <row r="82" customFormat="false" ht="15" hidden="false" customHeight="false" outlineLevel="0" collapsed="false">
      <c r="A82" s="24"/>
      <c r="B82" s="13"/>
      <c r="C82" s="13"/>
      <c r="D82" s="19"/>
      <c r="E82" s="12"/>
      <c r="F82" s="13"/>
      <c r="G82" s="13"/>
      <c r="H82" s="13"/>
      <c r="I82" s="13"/>
      <c r="J82" s="13"/>
      <c r="K82" s="12"/>
    </row>
    <row r="83" customFormat="false" ht="15" hidden="false" customHeight="false" outlineLevel="0" collapsed="false">
      <c r="A83" s="24"/>
      <c r="B83" s="13"/>
      <c r="C83" s="13"/>
      <c r="D83" s="19"/>
      <c r="E83" s="12"/>
      <c r="F83" s="13"/>
      <c r="G83" s="13"/>
      <c r="H83" s="13"/>
      <c r="I83" s="13"/>
      <c r="J83" s="13"/>
      <c r="K83" s="12"/>
    </row>
    <row r="84" customFormat="false" ht="15" hidden="false" customHeight="false" outlineLevel="0" collapsed="false">
      <c r="A84" s="24"/>
      <c r="B84" s="13"/>
      <c r="C84" s="13"/>
      <c r="D84" s="19"/>
      <c r="E84" s="12"/>
      <c r="F84" s="13"/>
      <c r="G84" s="13"/>
      <c r="H84" s="13"/>
      <c r="I84" s="13"/>
      <c r="J84" s="13"/>
      <c r="K84" s="12"/>
    </row>
    <row r="85" customFormat="false" ht="15" hidden="false" customHeight="false" outlineLevel="0" collapsed="false">
      <c r="A85" s="24"/>
      <c r="B85" s="13"/>
      <c r="C85" s="13"/>
      <c r="D85" s="19"/>
      <c r="E85" s="12"/>
      <c r="F85" s="13"/>
      <c r="G85" s="13"/>
      <c r="H85" s="13"/>
      <c r="I85" s="13"/>
      <c r="J85" s="13"/>
      <c r="K85" s="12"/>
    </row>
    <row r="86" customFormat="false" ht="15" hidden="false" customHeight="false" outlineLevel="0" collapsed="false">
      <c r="A86" s="24"/>
      <c r="B86" s="13"/>
      <c r="C86" s="13"/>
      <c r="D86" s="19"/>
      <c r="E86" s="12"/>
      <c r="F86" s="13"/>
      <c r="G86" s="13"/>
      <c r="H86" s="13"/>
      <c r="I86" s="13"/>
      <c r="J86" s="13"/>
      <c r="K86" s="12"/>
    </row>
    <row r="87" customFormat="false" ht="15" hidden="false" customHeight="false" outlineLevel="0" collapsed="false">
      <c r="A87" s="24"/>
      <c r="B87" s="13"/>
      <c r="C87" s="13"/>
      <c r="D87" s="19"/>
      <c r="E87" s="12"/>
      <c r="F87" s="13"/>
      <c r="G87" s="13"/>
      <c r="H87" s="13"/>
      <c r="I87" s="13"/>
      <c r="J87" s="13"/>
      <c r="K87" s="12"/>
    </row>
    <row r="88" customFormat="false" ht="15" hidden="false" customHeight="false" outlineLevel="0" collapsed="false">
      <c r="A88" s="24"/>
      <c r="B88" s="13"/>
      <c r="C88" s="13"/>
      <c r="D88" s="19"/>
      <c r="E88" s="12"/>
      <c r="F88" s="13"/>
      <c r="G88" s="13"/>
      <c r="H88" s="13"/>
      <c r="I88" s="13"/>
      <c r="J88" s="13"/>
      <c r="K88" s="12"/>
    </row>
    <row r="89" customFormat="false" ht="15" hidden="false" customHeight="false" outlineLevel="0" collapsed="false">
      <c r="A89" s="24"/>
      <c r="B89" s="13"/>
      <c r="C89" s="13"/>
      <c r="D89" s="19"/>
      <c r="E89" s="12"/>
      <c r="F89" s="13"/>
      <c r="G89" s="13"/>
      <c r="H89" s="13"/>
      <c r="I89" s="13"/>
      <c r="J89" s="13"/>
      <c r="K89" s="12"/>
    </row>
    <row r="90" customFormat="false" ht="15" hidden="false" customHeight="false" outlineLevel="0" collapsed="false">
      <c r="A90" s="24"/>
      <c r="B90" s="13"/>
      <c r="C90" s="13"/>
      <c r="D90" s="19"/>
      <c r="E90" s="12"/>
      <c r="F90" s="13"/>
      <c r="G90" s="13"/>
      <c r="H90" s="13"/>
      <c r="I90" s="13"/>
      <c r="J90" s="13"/>
      <c r="K90" s="12"/>
    </row>
    <row r="91" customFormat="false" ht="15" hidden="false" customHeight="false" outlineLevel="0" collapsed="false">
      <c r="A91" s="24"/>
      <c r="B91" s="13"/>
      <c r="C91" s="13"/>
      <c r="D91" s="19"/>
      <c r="E91" s="12"/>
      <c r="F91" s="13"/>
      <c r="G91" s="13"/>
      <c r="H91" s="13"/>
      <c r="I91" s="13"/>
      <c r="J91" s="13"/>
      <c r="K91" s="12"/>
    </row>
    <row r="92" customFormat="false" ht="15" hidden="false" customHeight="false" outlineLevel="0" collapsed="false">
      <c r="A92" s="24"/>
      <c r="B92" s="13"/>
      <c r="C92" s="13"/>
      <c r="D92" s="19"/>
      <c r="E92" s="12"/>
      <c r="F92" s="13"/>
      <c r="G92" s="13"/>
      <c r="H92" s="13"/>
      <c r="I92" s="13"/>
      <c r="J92" s="13"/>
      <c r="K92" s="12"/>
    </row>
    <row r="93" customFormat="false" ht="15" hidden="false" customHeight="false" outlineLevel="0" collapsed="false">
      <c r="A93" s="24"/>
      <c r="B93" s="13"/>
      <c r="C93" s="13"/>
      <c r="D93" s="19"/>
      <c r="E93" s="12"/>
      <c r="F93" s="13"/>
      <c r="G93" s="13"/>
      <c r="H93" s="13"/>
      <c r="I93" s="13"/>
      <c r="J93" s="13"/>
      <c r="K93" s="12"/>
    </row>
    <row r="94" customFormat="false" ht="15" hidden="false" customHeight="false" outlineLevel="0" collapsed="false">
      <c r="A94" s="24"/>
      <c r="B94" s="13"/>
      <c r="C94" s="13"/>
      <c r="D94" s="19"/>
      <c r="E94" s="12"/>
      <c r="F94" s="13"/>
      <c r="G94" s="13"/>
      <c r="H94" s="13"/>
      <c r="I94" s="13"/>
      <c r="J94" s="13"/>
      <c r="K94" s="12"/>
    </row>
    <row r="95" customFormat="false" ht="15" hidden="false" customHeight="false" outlineLevel="0" collapsed="false">
      <c r="A95" s="24"/>
      <c r="B95" s="13"/>
      <c r="C95" s="13"/>
      <c r="D95" s="19"/>
      <c r="E95" s="12"/>
      <c r="F95" s="13"/>
      <c r="G95" s="13"/>
      <c r="H95" s="13"/>
      <c r="I95" s="13"/>
      <c r="J95" s="13"/>
      <c r="K95" s="12"/>
    </row>
    <row r="96" customFormat="false" ht="15" hidden="false" customHeight="false" outlineLevel="0" collapsed="false">
      <c r="A96" s="24"/>
      <c r="B96" s="13"/>
      <c r="C96" s="13"/>
      <c r="D96" s="19"/>
      <c r="E96" s="12"/>
      <c r="F96" s="13"/>
      <c r="G96" s="13"/>
      <c r="H96" s="13"/>
      <c r="I96" s="13"/>
      <c r="J96" s="13"/>
      <c r="K96" s="12"/>
    </row>
    <row r="97" customFormat="false" ht="15" hidden="false" customHeight="false" outlineLevel="0" collapsed="false">
      <c r="A97" s="24"/>
      <c r="B97" s="13"/>
      <c r="C97" s="13"/>
      <c r="D97" s="19"/>
      <c r="E97" s="12"/>
      <c r="F97" s="13"/>
      <c r="G97" s="13"/>
      <c r="H97" s="13"/>
      <c r="I97" s="13"/>
      <c r="J97" s="13"/>
      <c r="K97" s="12"/>
    </row>
    <row r="98" customFormat="false" ht="15" hidden="false" customHeight="false" outlineLevel="0" collapsed="false">
      <c r="A98" s="24"/>
      <c r="B98" s="13"/>
      <c r="C98" s="13"/>
      <c r="D98" s="19"/>
      <c r="E98" s="12"/>
      <c r="F98" s="13"/>
      <c r="G98" s="13"/>
      <c r="H98" s="13"/>
      <c r="I98" s="13"/>
      <c r="J98" s="13"/>
      <c r="K98" s="12"/>
    </row>
    <row r="99" customFormat="false" ht="15" hidden="false" customHeight="false" outlineLevel="0" collapsed="false">
      <c r="A99" s="24"/>
      <c r="B99" s="13"/>
      <c r="C99" s="13"/>
      <c r="D99" s="19"/>
      <c r="E99" s="12"/>
      <c r="F99" s="13"/>
      <c r="G99" s="13"/>
      <c r="H99" s="13"/>
      <c r="I99" s="13"/>
      <c r="J99" s="13"/>
      <c r="K99" s="12"/>
    </row>
    <row r="100" customFormat="false" ht="15" hidden="false" customHeight="false" outlineLevel="0" collapsed="false">
      <c r="A100" s="24"/>
      <c r="B100" s="13"/>
      <c r="C100" s="13"/>
      <c r="D100" s="19"/>
      <c r="E100" s="12"/>
      <c r="F100" s="13"/>
      <c r="G100" s="13"/>
      <c r="H100" s="13"/>
      <c r="I100" s="13"/>
      <c r="J100" s="13"/>
      <c r="K100" s="12"/>
    </row>
    <row r="101" customFormat="false" ht="15" hidden="false" customHeight="false" outlineLevel="0" collapsed="false">
      <c r="A101" s="24"/>
      <c r="B101" s="13"/>
      <c r="C101" s="13"/>
      <c r="D101" s="19"/>
      <c r="E101" s="12"/>
      <c r="F101" s="13"/>
      <c r="G101" s="13"/>
      <c r="H101" s="13"/>
      <c r="I101" s="13"/>
      <c r="J101" s="13"/>
      <c r="K101" s="12"/>
    </row>
    <row r="102" customFormat="false" ht="15" hidden="false" customHeight="false" outlineLevel="0" collapsed="false">
      <c r="A102" s="24"/>
      <c r="B102" s="13"/>
      <c r="C102" s="13"/>
      <c r="D102" s="19"/>
      <c r="E102" s="12"/>
      <c r="F102" s="13"/>
      <c r="G102" s="13"/>
      <c r="H102" s="13"/>
      <c r="I102" s="13"/>
      <c r="J102" s="13"/>
      <c r="K102" s="12"/>
    </row>
    <row r="103" customFormat="false" ht="15" hidden="false" customHeight="false" outlineLevel="0" collapsed="false">
      <c r="A103" s="24"/>
      <c r="B103" s="13"/>
      <c r="C103" s="13"/>
      <c r="D103" s="19"/>
      <c r="E103" s="12"/>
      <c r="F103" s="13"/>
      <c r="G103" s="13"/>
      <c r="H103" s="13"/>
      <c r="I103" s="13"/>
      <c r="J103" s="13"/>
      <c r="K103" s="12"/>
    </row>
    <row r="104" customFormat="false" ht="15" hidden="false" customHeight="false" outlineLevel="0" collapsed="false">
      <c r="A104" s="24"/>
      <c r="B104" s="13"/>
      <c r="C104" s="13"/>
      <c r="D104" s="19"/>
      <c r="E104" s="12"/>
      <c r="F104" s="13"/>
      <c r="G104" s="13"/>
      <c r="H104" s="13"/>
      <c r="I104" s="13"/>
      <c r="J104" s="13"/>
      <c r="K104" s="12"/>
    </row>
    <row r="105" customFormat="false" ht="15" hidden="false" customHeight="false" outlineLevel="0" collapsed="false">
      <c r="A105" s="24"/>
      <c r="B105" s="13"/>
      <c r="C105" s="13"/>
      <c r="D105" s="19"/>
      <c r="E105" s="12"/>
      <c r="F105" s="13"/>
      <c r="G105" s="13"/>
      <c r="H105" s="13"/>
      <c r="I105" s="13"/>
      <c r="J105" s="13"/>
      <c r="K105" s="12"/>
    </row>
    <row r="106" customFormat="false" ht="15" hidden="false" customHeight="false" outlineLevel="0" collapsed="false">
      <c r="A106" s="24"/>
      <c r="B106" s="13"/>
      <c r="C106" s="13"/>
      <c r="D106" s="19"/>
      <c r="E106" s="12"/>
      <c r="F106" s="13"/>
      <c r="G106" s="13"/>
      <c r="H106" s="13"/>
      <c r="I106" s="13"/>
      <c r="J106" s="13"/>
      <c r="K106" s="12"/>
    </row>
    <row r="107" customFormat="false" ht="15" hidden="false" customHeight="false" outlineLevel="0" collapsed="false">
      <c r="A107" s="24"/>
      <c r="B107" s="13"/>
      <c r="C107" s="13"/>
      <c r="D107" s="19"/>
      <c r="E107" s="12"/>
      <c r="F107" s="13"/>
      <c r="G107" s="13"/>
      <c r="H107" s="13"/>
      <c r="I107" s="13"/>
      <c r="J107" s="13"/>
      <c r="K107" s="12"/>
    </row>
    <row r="108" customFormat="false" ht="15" hidden="false" customHeight="false" outlineLevel="0" collapsed="false">
      <c r="A108" s="24"/>
      <c r="B108" s="13"/>
      <c r="C108" s="13"/>
      <c r="D108" s="19"/>
      <c r="E108" s="12"/>
      <c r="F108" s="13"/>
      <c r="G108" s="13"/>
      <c r="H108" s="13"/>
      <c r="I108" s="13"/>
      <c r="J108" s="13"/>
      <c r="K108" s="12"/>
    </row>
    <row r="109" customFormat="false" ht="15" hidden="false" customHeight="false" outlineLevel="0" collapsed="false">
      <c r="A109" s="24"/>
      <c r="B109" s="13"/>
      <c r="C109" s="13"/>
      <c r="D109" s="19"/>
      <c r="E109" s="12"/>
      <c r="F109" s="13"/>
      <c r="G109" s="13"/>
      <c r="H109" s="13"/>
      <c r="I109" s="13"/>
      <c r="J109" s="13"/>
      <c r="K109" s="12"/>
    </row>
    <row r="110" customFormat="false" ht="15" hidden="false" customHeight="false" outlineLevel="0" collapsed="false">
      <c r="A110" s="24"/>
      <c r="B110" s="13"/>
      <c r="C110" s="13"/>
      <c r="D110" s="19"/>
      <c r="E110" s="12"/>
      <c r="F110" s="13"/>
      <c r="G110" s="13"/>
      <c r="H110" s="13"/>
      <c r="I110" s="13"/>
      <c r="J110" s="13"/>
      <c r="K110" s="12"/>
    </row>
    <row r="111" customFormat="false" ht="15" hidden="false" customHeight="false" outlineLevel="0" collapsed="false">
      <c r="A111" s="24"/>
      <c r="B111" s="13"/>
      <c r="C111" s="13"/>
      <c r="D111" s="19"/>
      <c r="E111" s="12"/>
      <c r="F111" s="13"/>
      <c r="G111" s="13"/>
      <c r="H111" s="13"/>
      <c r="I111" s="13"/>
      <c r="J111" s="13"/>
      <c r="K111" s="12"/>
    </row>
    <row r="112" customFormat="false" ht="15" hidden="false" customHeight="false" outlineLevel="0" collapsed="false">
      <c r="A112" s="24"/>
      <c r="B112" s="13"/>
      <c r="C112" s="13"/>
      <c r="D112" s="19"/>
      <c r="E112" s="12"/>
      <c r="F112" s="13"/>
      <c r="G112" s="13"/>
      <c r="H112" s="13"/>
      <c r="I112" s="13"/>
      <c r="J112" s="13"/>
      <c r="K112" s="12"/>
    </row>
    <row r="113" customFormat="false" ht="15" hidden="false" customHeight="false" outlineLevel="0" collapsed="false">
      <c r="A113" s="24"/>
      <c r="B113" s="13"/>
      <c r="C113" s="13"/>
      <c r="D113" s="19"/>
      <c r="E113" s="12"/>
      <c r="F113" s="13"/>
      <c r="G113" s="13"/>
      <c r="H113" s="13"/>
      <c r="I113" s="13"/>
      <c r="J113" s="13"/>
      <c r="K113" s="12"/>
    </row>
    <row r="114" customFormat="false" ht="15" hidden="false" customHeight="false" outlineLevel="0" collapsed="false">
      <c r="A114" s="24"/>
      <c r="B114" s="13"/>
      <c r="C114" s="13"/>
      <c r="D114" s="19"/>
      <c r="E114" s="12"/>
      <c r="F114" s="13"/>
      <c r="G114" s="13"/>
      <c r="H114" s="13"/>
      <c r="I114" s="13"/>
      <c r="J114" s="13"/>
      <c r="K114" s="12"/>
    </row>
    <row r="115" customFormat="false" ht="15" hidden="false" customHeight="false" outlineLevel="0" collapsed="false">
      <c r="A115" s="24"/>
      <c r="B115" s="13"/>
      <c r="C115" s="13"/>
      <c r="D115" s="19"/>
      <c r="E115" s="12"/>
      <c r="F115" s="13"/>
      <c r="G115" s="13"/>
      <c r="H115" s="13"/>
      <c r="I115" s="13"/>
      <c r="J115" s="13"/>
      <c r="K115" s="12"/>
    </row>
    <row r="116" customFormat="false" ht="15" hidden="false" customHeight="false" outlineLevel="0" collapsed="false">
      <c r="A116" s="24"/>
      <c r="B116" s="13"/>
      <c r="C116" s="13"/>
      <c r="D116" s="19"/>
      <c r="E116" s="12"/>
      <c r="F116" s="13"/>
      <c r="G116" s="13"/>
      <c r="H116" s="13"/>
      <c r="I116" s="13"/>
      <c r="J116" s="13"/>
      <c r="K116" s="12"/>
    </row>
    <row r="117" customFormat="false" ht="15" hidden="false" customHeight="false" outlineLevel="0" collapsed="false">
      <c r="A117" s="24"/>
      <c r="B117" s="13"/>
      <c r="C117" s="13"/>
      <c r="D117" s="19"/>
      <c r="E117" s="12"/>
      <c r="F117" s="13"/>
      <c r="G117" s="13"/>
      <c r="H117" s="13"/>
      <c r="I117" s="13"/>
      <c r="J117" s="13"/>
      <c r="K117" s="12"/>
    </row>
    <row r="118" customFormat="false" ht="15" hidden="false" customHeight="false" outlineLevel="0" collapsed="false">
      <c r="A118" s="24"/>
      <c r="B118" s="13"/>
      <c r="C118" s="13"/>
      <c r="D118" s="19"/>
      <c r="E118" s="12"/>
      <c r="F118" s="13"/>
      <c r="G118" s="13"/>
      <c r="H118" s="13"/>
      <c r="I118" s="13"/>
      <c r="J118" s="13"/>
      <c r="K118" s="12"/>
    </row>
    <row r="119" customFormat="false" ht="15" hidden="false" customHeight="false" outlineLevel="0" collapsed="false">
      <c r="A119" s="24"/>
      <c r="B119" s="13"/>
      <c r="C119" s="13"/>
      <c r="D119" s="19"/>
      <c r="E119" s="12"/>
      <c r="F119" s="13"/>
      <c r="G119" s="13"/>
      <c r="H119" s="13"/>
      <c r="I119" s="13"/>
      <c r="J119" s="13"/>
      <c r="K119" s="12"/>
    </row>
    <row r="120" customFormat="false" ht="15" hidden="false" customHeight="false" outlineLevel="0" collapsed="false">
      <c r="A120" s="24"/>
      <c r="B120" s="13"/>
      <c r="C120" s="13"/>
      <c r="D120" s="19"/>
      <c r="E120" s="12"/>
      <c r="F120" s="13"/>
      <c r="G120" s="13"/>
      <c r="H120" s="13"/>
      <c r="I120" s="13"/>
      <c r="J120" s="13"/>
      <c r="K120" s="12"/>
    </row>
    <row r="121" customFormat="false" ht="15" hidden="false" customHeight="false" outlineLevel="0" collapsed="false">
      <c r="A121" s="24"/>
      <c r="B121" s="13"/>
      <c r="C121" s="13"/>
      <c r="D121" s="19"/>
      <c r="E121" s="12"/>
      <c r="F121" s="13"/>
      <c r="G121" s="13"/>
      <c r="H121" s="13"/>
      <c r="I121" s="13"/>
      <c r="J121" s="13"/>
      <c r="K121" s="12"/>
    </row>
    <row r="122" customFormat="false" ht="15" hidden="false" customHeight="false" outlineLevel="0" collapsed="false">
      <c r="A122" s="24"/>
      <c r="B122" s="13"/>
      <c r="C122" s="13"/>
      <c r="D122" s="19"/>
      <c r="E122" s="12"/>
      <c r="F122" s="13"/>
      <c r="G122" s="13"/>
      <c r="H122" s="13"/>
      <c r="I122" s="13"/>
      <c r="J122" s="13"/>
      <c r="K122" s="12"/>
    </row>
    <row r="123" customFormat="false" ht="15" hidden="false" customHeight="false" outlineLevel="0" collapsed="false">
      <c r="A123" s="24"/>
      <c r="B123" s="13"/>
      <c r="C123" s="13"/>
      <c r="D123" s="19"/>
      <c r="E123" s="12"/>
      <c r="F123" s="13"/>
      <c r="G123" s="13"/>
      <c r="H123" s="13"/>
      <c r="I123" s="13"/>
      <c r="J123" s="13"/>
      <c r="K123" s="12"/>
    </row>
    <row r="124" customFormat="false" ht="15" hidden="false" customHeight="false" outlineLevel="0" collapsed="false">
      <c r="A124" s="24"/>
      <c r="B124" s="13"/>
      <c r="C124" s="13"/>
      <c r="D124" s="19"/>
      <c r="E124" s="12"/>
      <c r="F124" s="13"/>
      <c r="G124" s="13"/>
      <c r="H124" s="13"/>
      <c r="I124" s="13"/>
      <c r="J124" s="13"/>
      <c r="K124" s="12"/>
    </row>
    <row r="125" customFormat="false" ht="15" hidden="false" customHeight="false" outlineLevel="0" collapsed="false">
      <c r="A125" s="24"/>
      <c r="B125" s="13"/>
      <c r="C125" s="13"/>
      <c r="D125" s="19"/>
      <c r="E125" s="12"/>
      <c r="F125" s="13"/>
      <c r="G125" s="13"/>
      <c r="H125" s="13"/>
      <c r="I125" s="13"/>
      <c r="J125" s="13"/>
      <c r="K125" s="12"/>
    </row>
    <row r="126" customFormat="false" ht="15" hidden="false" customHeight="false" outlineLevel="0" collapsed="false">
      <c r="A126" s="24"/>
      <c r="B126" s="13"/>
      <c r="C126" s="13"/>
      <c r="D126" s="19"/>
      <c r="E126" s="12"/>
      <c r="F126" s="13"/>
      <c r="G126" s="13"/>
      <c r="H126" s="13"/>
      <c r="I126" s="13"/>
      <c r="J126" s="13"/>
      <c r="K126" s="12"/>
    </row>
    <row r="127" customFormat="false" ht="15" hidden="false" customHeight="false" outlineLevel="0" collapsed="false">
      <c r="A127" s="24"/>
      <c r="B127" s="13"/>
      <c r="C127" s="13"/>
      <c r="D127" s="19"/>
      <c r="E127" s="12"/>
      <c r="F127" s="13"/>
      <c r="G127" s="13"/>
      <c r="H127" s="13"/>
      <c r="I127" s="13"/>
      <c r="J127" s="13"/>
      <c r="K127" s="12"/>
    </row>
    <row r="128" customFormat="false" ht="15" hidden="false" customHeight="false" outlineLevel="0" collapsed="false">
      <c r="A128" s="24"/>
      <c r="B128" s="13"/>
      <c r="C128" s="13"/>
      <c r="D128" s="19"/>
      <c r="E128" s="12"/>
      <c r="F128" s="13"/>
      <c r="G128" s="13"/>
      <c r="H128" s="13"/>
      <c r="I128" s="13"/>
      <c r="J128" s="13"/>
      <c r="K128" s="12"/>
    </row>
    <row r="129" customFormat="false" ht="15" hidden="false" customHeight="false" outlineLevel="0" collapsed="false">
      <c r="A129" s="24"/>
      <c r="B129" s="13"/>
      <c r="C129" s="13"/>
      <c r="D129" s="19"/>
      <c r="E129" s="12"/>
      <c r="F129" s="13"/>
      <c r="G129" s="13"/>
      <c r="H129" s="13"/>
      <c r="I129" s="13"/>
      <c r="J129" s="13"/>
      <c r="K129" s="12"/>
    </row>
    <row r="130" customFormat="false" ht="15" hidden="false" customHeight="false" outlineLevel="0" collapsed="false">
      <c r="A130" s="24"/>
      <c r="B130" s="13"/>
      <c r="C130" s="13"/>
      <c r="D130" s="19"/>
      <c r="E130" s="12"/>
      <c r="F130" s="13"/>
      <c r="G130" s="13"/>
      <c r="H130" s="13"/>
      <c r="I130" s="13"/>
      <c r="J130" s="13"/>
      <c r="K130" s="12"/>
    </row>
    <row r="131" customFormat="false" ht="15" hidden="false" customHeight="false" outlineLevel="0" collapsed="false">
      <c r="A131" s="24"/>
      <c r="B131" s="13"/>
      <c r="C131" s="13"/>
      <c r="D131" s="19"/>
      <c r="E131" s="12"/>
      <c r="F131" s="13"/>
      <c r="G131" s="13"/>
      <c r="H131" s="13"/>
      <c r="I131" s="13"/>
      <c r="J131" s="13"/>
      <c r="K131" s="12"/>
    </row>
    <row r="132" customFormat="false" ht="15" hidden="false" customHeight="false" outlineLevel="0" collapsed="false">
      <c r="A132" s="24"/>
      <c r="B132" s="13"/>
      <c r="C132" s="13"/>
      <c r="D132" s="19"/>
      <c r="E132" s="12"/>
      <c r="F132" s="13"/>
      <c r="G132" s="13"/>
      <c r="H132" s="13"/>
      <c r="I132" s="13"/>
      <c r="J132" s="13"/>
      <c r="K132" s="12"/>
    </row>
    <row r="133" customFormat="false" ht="15" hidden="false" customHeight="false" outlineLevel="0" collapsed="false">
      <c r="A133" s="24"/>
      <c r="B133" s="13"/>
      <c r="C133" s="13"/>
      <c r="D133" s="19"/>
      <c r="E133" s="12"/>
      <c r="F133" s="13"/>
      <c r="G133" s="13"/>
      <c r="H133" s="13"/>
      <c r="I133" s="13"/>
      <c r="J133" s="13"/>
      <c r="K133" s="12"/>
    </row>
    <row r="134" customFormat="false" ht="15" hidden="false" customHeight="false" outlineLevel="0" collapsed="false">
      <c r="A134" s="24"/>
      <c r="B134" s="13"/>
      <c r="C134" s="13"/>
      <c r="D134" s="19"/>
      <c r="E134" s="12"/>
      <c r="F134" s="13"/>
      <c r="G134" s="13"/>
      <c r="H134" s="13"/>
      <c r="I134" s="13"/>
      <c r="J134" s="13"/>
      <c r="K134" s="12"/>
    </row>
    <row r="135" customFormat="false" ht="15" hidden="false" customHeight="false" outlineLevel="0" collapsed="false">
      <c r="A135" s="24"/>
      <c r="B135" s="13"/>
      <c r="C135" s="13"/>
      <c r="D135" s="19"/>
      <c r="E135" s="12"/>
      <c r="F135" s="13"/>
      <c r="G135" s="13"/>
      <c r="H135" s="13"/>
      <c r="I135" s="13"/>
      <c r="J135" s="13"/>
      <c r="K135" s="12"/>
    </row>
    <row r="136" customFormat="false" ht="15" hidden="false" customHeight="false" outlineLevel="0" collapsed="false">
      <c r="A136" s="24"/>
      <c r="B136" s="13"/>
      <c r="C136" s="13"/>
      <c r="D136" s="19"/>
      <c r="E136" s="12"/>
      <c r="F136" s="13"/>
      <c r="G136" s="13"/>
      <c r="H136" s="13"/>
      <c r="I136" s="13"/>
      <c r="J136" s="13"/>
      <c r="K136" s="12"/>
    </row>
    <row r="137" customFormat="false" ht="15" hidden="false" customHeight="false" outlineLevel="0" collapsed="false">
      <c r="A137" s="24"/>
      <c r="B137" s="13"/>
      <c r="C137" s="13"/>
      <c r="D137" s="19"/>
      <c r="E137" s="12"/>
      <c r="F137" s="13"/>
      <c r="G137" s="13"/>
      <c r="H137" s="13"/>
      <c r="I137" s="13"/>
      <c r="J137" s="13"/>
      <c r="K137" s="12"/>
    </row>
    <row r="138" customFormat="false" ht="15" hidden="false" customHeight="false" outlineLevel="0" collapsed="false">
      <c r="A138" s="24"/>
      <c r="B138" s="13"/>
      <c r="C138" s="13"/>
      <c r="D138" s="19"/>
      <c r="E138" s="12"/>
      <c r="F138" s="13"/>
      <c r="G138" s="13"/>
      <c r="H138" s="13"/>
      <c r="I138" s="13"/>
      <c r="J138" s="13"/>
      <c r="K138" s="12"/>
    </row>
    <row r="139" customFormat="false" ht="15" hidden="false" customHeight="false" outlineLevel="0" collapsed="false">
      <c r="A139" s="24"/>
      <c r="B139" s="13"/>
      <c r="C139" s="13"/>
      <c r="D139" s="19"/>
      <c r="E139" s="12"/>
      <c r="F139" s="13"/>
      <c r="G139" s="13"/>
      <c r="H139" s="13"/>
      <c r="I139" s="13"/>
      <c r="J139" s="13"/>
      <c r="K139" s="12"/>
    </row>
    <row r="140" customFormat="false" ht="15" hidden="false" customHeight="false" outlineLevel="0" collapsed="false">
      <c r="A140" s="24"/>
      <c r="B140" s="13"/>
      <c r="C140" s="13"/>
      <c r="D140" s="19"/>
      <c r="E140" s="12"/>
      <c r="F140" s="13"/>
      <c r="G140" s="13"/>
      <c r="H140" s="13"/>
      <c r="I140" s="13"/>
      <c r="J140" s="13"/>
      <c r="K140" s="12"/>
    </row>
    <row r="141" customFormat="false" ht="15" hidden="false" customHeight="false" outlineLevel="0" collapsed="false">
      <c r="A141" s="24"/>
      <c r="B141" s="13"/>
      <c r="C141" s="13"/>
      <c r="D141" s="19"/>
      <c r="E141" s="12"/>
      <c r="F141" s="13"/>
      <c r="G141" s="13"/>
      <c r="H141" s="13"/>
      <c r="I141" s="13"/>
      <c r="J141" s="13"/>
      <c r="K141" s="12"/>
    </row>
    <row r="142" customFormat="false" ht="15" hidden="false" customHeight="false" outlineLevel="0" collapsed="false">
      <c r="A142" s="24"/>
      <c r="B142" s="13"/>
      <c r="C142" s="13"/>
      <c r="D142" s="19"/>
      <c r="E142" s="12"/>
      <c r="F142" s="13"/>
      <c r="G142" s="13"/>
      <c r="H142" s="13"/>
      <c r="I142" s="13"/>
      <c r="J142" s="13"/>
      <c r="K142" s="12"/>
    </row>
    <row r="143" customFormat="false" ht="15" hidden="false" customHeight="false" outlineLevel="0" collapsed="false">
      <c r="A143" s="24"/>
      <c r="B143" s="13"/>
      <c r="C143" s="13"/>
      <c r="D143" s="19"/>
      <c r="E143" s="12"/>
      <c r="F143" s="13"/>
      <c r="G143" s="13"/>
      <c r="H143" s="13"/>
      <c r="I143" s="13"/>
      <c r="J143" s="13"/>
      <c r="K143" s="12"/>
    </row>
    <row r="144" customFormat="false" ht="15" hidden="false" customHeight="false" outlineLevel="0" collapsed="false">
      <c r="A144" s="24"/>
      <c r="B144" s="13"/>
      <c r="C144" s="13"/>
      <c r="D144" s="19"/>
      <c r="E144" s="12"/>
      <c r="F144" s="13"/>
      <c r="G144" s="13"/>
      <c r="H144" s="13"/>
      <c r="I144" s="13"/>
      <c r="J144" s="13"/>
      <c r="K144" s="12"/>
    </row>
    <row r="145" customFormat="false" ht="15" hidden="false" customHeight="false" outlineLevel="0" collapsed="false">
      <c r="A145" s="24"/>
      <c r="B145" s="13"/>
      <c r="C145" s="13"/>
      <c r="D145" s="19"/>
      <c r="E145" s="12"/>
      <c r="F145" s="13"/>
      <c r="G145" s="13"/>
      <c r="H145" s="13"/>
      <c r="I145" s="13"/>
      <c r="J145" s="13"/>
      <c r="K145" s="12"/>
    </row>
    <row r="146" customFormat="false" ht="15" hidden="false" customHeight="false" outlineLevel="0" collapsed="false">
      <c r="A146" s="24"/>
      <c r="B146" s="13"/>
      <c r="C146" s="13"/>
      <c r="D146" s="19"/>
      <c r="E146" s="12"/>
      <c r="F146" s="13"/>
      <c r="G146" s="13"/>
      <c r="H146" s="13"/>
      <c r="I146" s="13"/>
      <c r="J146" s="13"/>
      <c r="K146" s="12"/>
    </row>
    <row r="147" customFormat="false" ht="15" hidden="false" customHeight="false" outlineLevel="0" collapsed="false">
      <c r="A147" s="24"/>
      <c r="B147" s="13"/>
      <c r="C147" s="13"/>
      <c r="D147" s="19"/>
      <c r="E147" s="12"/>
      <c r="F147" s="13"/>
      <c r="G147" s="13"/>
      <c r="H147" s="13"/>
      <c r="I147" s="13"/>
      <c r="J147" s="13"/>
      <c r="K147" s="12"/>
    </row>
    <row r="148" customFormat="false" ht="15" hidden="false" customHeight="false" outlineLevel="0" collapsed="false">
      <c r="A148" s="24"/>
      <c r="B148" s="13"/>
      <c r="C148" s="13"/>
      <c r="D148" s="19"/>
      <c r="E148" s="12"/>
      <c r="F148" s="13"/>
      <c r="G148" s="13"/>
      <c r="H148" s="13"/>
      <c r="I148" s="13"/>
      <c r="J148" s="13"/>
      <c r="K148" s="12"/>
    </row>
    <row r="149" customFormat="false" ht="15" hidden="false" customHeight="false" outlineLevel="0" collapsed="false">
      <c r="A149" s="24"/>
      <c r="B149" s="13"/>
      <c r="C149" s="13"/>
      <c r="D149" s="19"/>
      <c r="E149" s="12"/>
      <c r="F149" s="13"/>
      <c r="G149" s="13"/>
      <c r="H149" s="13"/>
      <c r="I149" s="13"/>
      <c r="J149" s="13"/>
      <c r="K149" s="12"/>
    </row>
    <row r="150" customFormat="false" ht="15" hidden="false" customHeight="false" outlineLevel="0" collapsed="false">
      <c r="A150" s="24"/>
      <c r="B150" s="13"/>
      <c r="C150" s="13"/>
      <c r="D150" s="19"/>
      <c r="E150" s="12"/>
      <c r="F150" s="13"/>
      <c r="G150" s="13"/>
      <c r="H150" s="13"/>
      <c r="I150" s="13"/>
      <c r="J150" s="13"/>
      <c r="K150" s="12"/>
    </row>
    <row r="151" customFormat="false" ht="15" hidden="false" customHeight="false" outlineLevel="0" collapsed="false">
      <c r="A151" s="24"/>
      <c r="B151" s="13"/>
      <c r="C151" s="13"/>
      <c r="D151" s="19"/>
      <c r="E151" s="12"/>
      <c r="F151" s="13"/>
      <c r="G151" s="13"/>
      <c r="H151" s="13"/>
      <c r="I151" s="13"/>
      <c r="J151" s="13"/>
      <c r="K151" s="12"/>
    </row>
    <row r="152" customFormat="false" ht="15" hidden="false" customHeight="false" outlineLevel="0" collapsed="false">
      <c r="A152" s="24"/>
      <c r="B152" s="13"/>
      <c r="C152" s="13"/>
      <c r="D152" s="19"/>
      <c r="E152" s="12"/>
      <c r="F152" s="13"/>
      <c r="G152" s="13"/>
      <c r="H152" s="13"/>
      <c r="I152" s="13"/>
      <c r="J152" s="13"/>
      <c r="K152" s="12"/>
    </row>
    <row r="153" customFormat="false" ht="15" hidden="false" customHeight="false" outlineLevel="0" collapsed="false">
      <c r="A153" s="24"/>
      <c r="B153" s="13"/>
      <c r="C153" s="13"/>
      <c r="D153" s="19"/>
      <c r="E153" s="12"/>
      <c r="F153" s="13"/>
      <c r="G153" s="13"/>
      <c r="H153" s="13"/>
      <c r="I153" s="13"/>
      <c r="J153" s="13"/>
      <c r="K153" s="12"/>
    </row>
    <row r="154" customFormat="false" ht="15" hidden="false" customHeight="false" outlineLevel="0" collapsed="false">
      <c r="A154" s="24"/>
      <c r="B154" s="13"/>
      <c r="C154" s="13"/>
      <c r="D154" s="19"/>
      <c r="E154" s="12"/>
      <c r="F154" s="13"/>
      <c r="G154" s="13"/>
      <c r="H154" s="13"/>
      <c r="I154" s="13"/>
      <c r="J154" s="13"/>
      <c r="K154" s="12"/>
    </row>
    <row r="155" customFormat="false" ht="15" hidden="false" customHeight="false" outlineLevel="0" collapsed="false">
      <c r="A155" s="24"/>
      <c r="B155" s="13"/>
      <c r="C155" s="13"/>
      <c r="D155" s="19"/>
      <c r="E155" s="12"/>
      <c r="F155" s="13"/>
      <c r="G155" s="13"/>
      <c r="H155" s="13"/>
      <c r="I155" s="13"/>
      <c r="J155" s="13"/>
      <c r="K155" s="12"/>
    </row>
    <row r="156" customFormat="false" ht="15" hidden="false" customHeight="false" outlineLevel="0" collapsed="false">
      <c r="A156" s="24"/>
      <c r="B156" s="13"/>
      <c r="C156" s="13"/>
      <c r="D156" s="19"/>
      <c r="E156" s="12"/>
      <c r="F156" s="13"/>
      <c r="G156" s="13"/>
      <c r="H156" s="13"/>
      <c r="I156" s="13"/>
      <c r="J156" s="13"/>
      <c r="K156" s="12"/>
    </row>
    <row r="157" customFormat="false" ht="15" hidden="false" customHeight="false" outlineLevel="0" collapsed="false">
      <c r="A157" s="24"/>
      <c r="B157" s="13"/>
      <c r="C157" s="13"/>
      <c r="D157" s="19"/>
      <c r="E157" s="12"/>
      <c r="F157" s="13"/>
      <c r="G157" s="13"/>
      <c r="H157" s="13"/>
      <c r="I157" s="13"/>
      <c r="J157" s="13"/>
      <c r="K157" s="12"/>
    </row>
    <row r="158" customFormat="false" ht="15" hidden="false" customHeight="false" outlineLevel="0" collapsed="false">
      <c r="A158" s="24"/>
      <c r="B158" s="13"/>
      <c r="C158" s="13"/>
      <c r="D158" s="19"/>
      <c r="E158" s="12"/>
      <c r="F158" s="13"/>
      <c r="G158" s="13"/>
      <c r="H158" s="13"/>
      <c r="I158" s="13"/>
      <c r="J158" s="13"/>
      <c r="K158" s="12"/>
    </row>
    <row r="159" customFormat="false" ht="15" hidden="false" customHeight="false" outlineLevel="0" collapsed="false">
      <c r="A159" s="24"/>
      <c r="B159" s="13"/>
      <c r="C159" s="13"/>
      <c r="D159" s="19"/>
      <c r="E159" s="12"/>
      <c r="F159" s="13"/>
      <c r="G159" s="13"/>
      <c r="H159" s="13"/>
      <c r="I159" s="13"/>
      <c r="J159" s="13"/>
      <c r="K159" s="12"/>
    </row>
    <row r="160" customFormat="false" ht="15" hidden="false" customHeight="false" outlineLevel="0" collapsed="false">
      <c r="A160" s="24"/>
      <c r="B160" s="13"/>
      <c r="C160" s="13"/>
      <c r="D160" s="19"/>
      <c r="E160" s="12"/>
      <c r="F160" s="13"/>
      <c r="G160" s="13"/>
      <c r="H160" s="13"/>
      <c r="I160" s="13"/>
      <c r="J160" s="13"/>
      <c r="K160" s="12"/>
    </row>
    <row r="161" customFormat="false" ht="15" hidden="false" customHeight="false" outlineLevel="0" collapsed="false">
      <c r="A161" s="24"/>
      <c r="B161" s="13"/>
      <c r="C161" s="13"/>
      <c r="D161" s="19"/>
      <c r="E161" s="12"/>
      <c r="F161" s="13"/>
      <c r="G161" s="13"/>
      <c r="H161" s="13"/>
      <c r="I161" s="13"/>
      <c r="J161" s="13"/>
      <c r="K161" s="12"/>
    </row>
    <row r="162" customFormat="false" ht="15" hidden="false" customHeight="false" outlineLevel="0" collapsed="false">
      <c r="A162" s="24"/>
      <c r="B162" s="13"/>
      <c r="C162" s="13"/>
      <c r="D162" s="19"/>
      <c r="E162" s="12"/>
      <c r="F162" s="13"/>
      <c r="G162" s="13"/>
      <c r="H162" s="13"/>
      <c r="I162" s="13"/>
      <c r="J162" s="13"/>
      <c r="K162" s="12"/>
    </row>
    <row r="163" customFormat="false" ht="15" hidden="false" customHeight="false" outlineLevel="0" collapsed="false">
      <c r="A163" s="24"/>
      <c r="B163" s="13"/>
      <c r="C163" s="13"/>
      <c r="D163" s="19"/>
      <c r="E163" s="12"/>
      <c r="F163" s="13"/>
      <c r="G163" s="13"/>
      <c r="H163" s="13"/>
      <c r="I163" s="13"/>
      <c r="J163" s="13"/>
      <c r="K163" s="12"/>
    </row>
    <row r="164" customFormat="false" ht="15" hidden="false" customHeight="false" outlineLevel="0" collapsed="false">
      <c r="A164" s="24"/>
      <c r="B164" s="13"/>
      <c r="C164" s="13"/>
      <c r="D164" s="19"/>
      <c r="E164" s="12"/>
      <c r="F164" s="13"/>
      <c r="G164" s="13"/>
      <c r="H164" s="13"/>
      <c r="I164" s="13"/>
      <c r="J164" s="13"/>
      <c r="K164" s="12"/>
    </row>
    <row r="165" customFormat="false" ht="15" hidden="false" customHeight="false" outlineLevel="0" collapsed="false">
      <c r="A165" s="24"/>
      <c r="B165" s="13"/>
      <c r="C165" s="13"/>
      <c r="D165" s="19"/>
      <c r="E165" s="12"/>
      <c r="F165" s="13"/>
      <c r="G165" s="13"/>
      <c r="H165" s="13"/>
      <c r="I165" s="13"/>
      <c r="J165" s="13"/>
      <c r="K165" s="12"/>
    </row>
    <row r="166" customFormat="false" ht="15" hidden="false" customHeight="false" outlineLevel="0" collapsed="false">
      <c r="A166" s="24"/>
      <c r="B166" s="13"/>
      <c r="C166" s="13"/>
      <c r="D166" s="19"/>
      <c r="E166" s="12"/>
      <c r="F166" s="13"/>
      <c r="G166" s="13"/>
      <c r="H166" s="13"/>
      <c r="I166" s="13"/>
      <c r="J166" s="13"/>
      <c r="K166" s="12"/>
    </row>
    <row r="167" customFormat="false" ht="15" hidden="false" customHeight="false" outlineLevel="0" collapsed="false">
      <c r="A167" s="24"/>
      <c r="B167" s="13"/>
      <c r="C167" s="13"/>
      <c r="D167" s="19"/>
      <c r="E167" s="12"/>
      <c r="F167" s="13"/>
      <c r="G167" s="13"/>
      <c r="H167" s="13"/>
      <c r="I167" s="13"/>
      <c r="J167" s="13"/>
      <c r="K167" s="12"/>
    </row>
    <row r="168" customFormat="false" ht="15" hidden="false" customHeight="false" outlineLevel="0" collapsed="false">
      <c r="A168" s="24"/>
      <c r="B168" s="13"/>
      <c r="C168" s="13"/>
      <c r="D168" s="19"/>
      <c r="E168" s="12"/>
      <c r="F168" s="13"/>
      <c r="G168" s="13"/>
      <c r="H168" s="13"/>
      <c r="I168" s="13"/>
      <c r="J168" s="13"/>
      <c r="K168" s="12"/>
    </row>
    <row r="169" customFormat="false" ht="15" hidden="false" customHeight="false" outlineLevel="0" collapsed="false">
      <c r="A169" s="24"/>
      <c r="B169" s="13"/>
      <c r="C169" s="13"/>
      <c r="D169" s="19"/>
      <c r="E169" s="12"/>
      <c r="F169" s="13"/>
      <c r="G169" s="13"/>
      <c r="H169" s="13"/>
      <c r="I169" s="13"/>
      <c r="J169" s="13"/>
      <c r="K169" s="12"/>
    </row>
    <row r="170" customFormat="false" ht="15" hidden="false" customHeight="false" outlineLevel="0" collapsed="false">
      <c r="A170" s="24"/>
      <c r="B170" s="13"/>
      <c r="C170" s="13"/>
      <c r="D170" s="19"/>
      <c r="E170" s="12"/>
      <c r="F170" s="13"/>
      <c r="G170" s="13"/>
      <c r="H170" s="13"/>
      <c r="I170" s="13"/>
      <c r="J170" s="13"/>
      <c r="K170" s="12"/>
    </row>
    <row r="171" customFormat="false" ht="15" hidden="false" customHeight="false" outlineLevel="0" collapsed="false">
      <c r="A171" s="24"/>
      <c r="B171" s="13"/>
      <c r="C171" s="13"/>
      <c r="D171" s="19"/>
      <c r="E171" s="12"/>
      <c r="F171" s="13"/>
      <c r="G171" s="13"/>
      <c r="H171" s="13"/>
      <c r="I171" s="13"/>
      <c r="J171" s="13"/>
      <c r="K171" s="12"/>
    </row>
    <row r="172" customFormat="false" ht="15" hidden="false" customHeight="false" outlineLevel="0" collapsed="false">
      <c r="A172" s="24"/>
      <c r="B172" s="13"/>
      <c r="C172" s="13"/>
      <c r="D172" s="19"/>
      <c r="E172" s="12"/>
      <c r="F172" s="13"/>
      <c r="G172" s="13"/>
      <c r="H172" s="13"/>
      <c r="I172" s="13"/>
      <c r="J172" s="13"/>
      <c r="K172" s="12"/>
    </row>
    <row r="173" customFormat="false" ht="15" hidden="false" customHeight="false" outlineLevel="0" collapsed="false">
      <c r="A173" s="24"/>
      <c r="B173" s="13"/>
      <c r="C173" s="13"/>
      <c r="D173" s="19"/>
      <c r="E173" s="12"/>
      <c r="F173" s="13"/>
      <c r="G173" s="13"/>
      <c r="H173" s="13"/>
      <c r="I173" s="13"/>
      <c r="J173" s="13"/>
      <c r="K173" s="12"/>
    </row>
    <row r="174" customFormat="false" ht="15" hidden="false" customHeight="false" outlineLevel="0" collapsed="false">
      <c r="A174" s="24"/>
      <c r="B174" s="13"/>
      <c r="C174" s="13"/>
      <c r="D174" s="19"/>
      <c r="E174" s="12"/>
      <c r="F174" s="13"/>
      <c r="G174" s="13"/>
      <c r="H174" s="13"/>
      <c r="I174" s="13"/>
      <c r="J174" s="13"/>
      <c r="K174" s="12"/>
    </row>
    <row r="175" customFormat="false" ht="15" hidden="false" customHeight="false" outlineLevel="0" collapsed="false">
      <c r="A175" s="24"/>
      <c r="B175" s="13"/>
      <c r="C175" s="13"/>
      <c r="D175" s="19"/>
      <c r="E175" s="12"/>
      <c r="F175" s="13"/>
      <c r="G175" s="13"/>
      <c r="H175" s="13"/>
      <c r="I175" s="13"/>
      <c r="J175" s="13"/>
      <c r="K175" s="12"/>
    </row>
    <row r="176" customFormat="false" ht="15" hidden="false" customHeight="false" outlineLevel="0" collapsed="false">
      <c r="A176" s="24"/>
      <c r="B176" s="13"/>
      <c r="C176" s="13"/>
      <c r="D176" s="19"/>
      <c r="E176" s="12"/>
      <c r="F176" s="13"/>
      <c r="G176" s="13"/>
      <c r="H176" s="13"/>
      <c r="I176" s="13"/>
      <c r="J176" s="13"/>
      <c r="K176" s="12"/>
    </row>
    <row r="177" customFormat="false" ht="15" hidden="false" customHeight="false" outlineLevel="0" collapsed="false">
      <c r="A177" s="24"/>
      <c r="B177" s="13"/>
      <c r="C177" s="13"/>
      <c r="D177" s="19"/>
      <c r="E177" s="12"/>
      <c r="F177" s="13"/>
      <c r="G177" s="13"/>
      <c r="H177" s="13"/>
      <c r="I177" s="13"/>
      <c r="J177" s="13"/>
      <c r="K177" s="12"/>
    </row>
    <row r="178" customFormat="false" ht="15" hidden="false" customHeight="false" outlineLevel="0" collapsed="false">
      <c r="A178" s="24"/>
      <c r="B178" s="13"/>
      <c r="C178" s="13"/>
      <c r="D178" s="19"/>
      <c r="E178" s="12"/>
      <c r="F178" s="13"/>
      <c r="G178" s="13"/>
      <c r="H178" s="13"/>
      <c r="I178" s="13"/>
      <c r="J178" s="13"/>
      <c r="K178" s="12"/>
    </row>
    <row r="179" customFormat="false" ht="15" hidden="false" customHeight="false" outlineLevel="0" collapsed="false">
      <c r="A179" s="24"/>
      <c r="B179" s="13"/>
      <c r="C179" s="13"/>
      <c r="D179" s="19"/>
      <c r="E179" s="12"/>
      <c r="F179" s="13"/>
      <c r="G179" s="13"/>
      <c r="H179" s="13"/>
      <c r="I179" s="13"/>
      <c r="J179" s="13"/>
      <c r="K179" s="12"/>
    </row>
    <row r="180" customFormat="false" ht="15" hidden="false" customHeight="false" outlineLevel="0" collapsed="false">
      <c r="A180" s="24"/>
      <c r="B180" s="13"/>
      <c r="C180" s="13"/>
      <c r="D180" s="19"/>
      <c r="E180" s="12"/>
      <c r="F180" s="13"/>
      <c r="G180" s="13"/>
      <c r="H180" s="13"/>
      <c r="I180" s="13"/>
      <c r="J180" s="13"/>
      <c r="K180" s="12"/>
    </row>
    <row r="181" customFormat="false" ht="15" hidden="false" customHeight="false" outlineLevel="0" collapsed="false">
      <c r="A181" s="24"/>
      <c r="B181" s="13"/>
      <c r="C181" s="13"/>
      <c r="D181" s="19"/>
      <c r="E181" s="12"/>
      <c r="F181" s="13"/>
      <c r="G181" s="13"/>
      <c r="H181" s="13"/>
      <c r="I181" s="13"/>
      <c r="J181" s="13"/>
      <c r="K181" s="12"/>
    </row>
    <row r="182" customFormat="false" ht="15" hidden="false" customHeight="false" outlineLevel="0" collapsed="false">
      <c r="A182" s="24"/>
      <c r="B182" s="13"/>
      <c r="C182" s="13"/>
      <c r="D182" s="19"/>
      <c r="E182" s="12"/>
      <c r="F182" s="13"/>
      <c r="G182" s="13"/>
      <c r="H182" s="13"/>
      <c r="I182" s="13"/>
      <c r="J182" s="13"/>
      <c r="K182" s="12"/>
    </row>
    <row r="183" customFormat="false" ht="15" hidden="false" customHeight="false" outlineLevel="0" collapsed="false">
      <c r="A183" s="24"/>
      <c r="B183" s="13"/>
      <c r="C183" s="13"/>
      <c r="D183" s="19"/>
      <c r="E183" s="12"/>
      <c r="F183" s="13"/>
      <c r="G183" s="13"/>
      <c r="H183" s="13"/>
      <c r="I183" s="13"/>
      <c r="J183" s="13"/>
      <c r="K183" s="12"/>
    </row>
    <row r="184" customFormat="false" ht="15" hidden="false" customHeight="false" outlineLevel="0" collapsed="false">
      <c r="A184" s="24"/>
      <c r="B184" s="13"/>
      <c r="C184" s="13"/>
      <c r="D184" s="19"/>
      <c r="E184" s="12"/>
      <c r="F184" s="13"/>
      <c r="G184" s="13"/>
      <c r="H184" s="13"/>
      <c r="I184" s="13"/>
      <c r="J184" s="13"/>
      <c r="K184" s="12"/>
    </row>
    <row r="185" customFormat="false" ht="15" hidden="false" customHeight="false" outlineLevel="0" collapsed="false">
      <c r="A185" s="24"/>
      <c r="B185" s="13"/>
      <c r="C185" s="13"/>
      <c r="D185" s="19"/>
      <c r="E185" s="12"/>
      <c r="F185" s="13"/>
      <c r="G185" s="13"/>
      <c r="H185" s="13"/>
      <c r="I185" s="13"/>
      <c r="J185" s="13"/>
      <c r="K185" s="12"/>
    </row>
    <row r="186" customFormat="false" ht="15" hidden="false" customHeight="false" outlineLevel="0" collapsed="false">
      <c r="A186" s="24"/>
      <c r="B186" s="13"/>
      <c r="C186" s="13"/>
      <c r="D186" s="19"/>
      <c r="E186" s="12"/>
      <c r="F186" s="13"/>
      <c r="G186" s="13"/>
      <c r="H186" s="13"/>
      <c r="I186" s="13"/>
      <c r="J186" s="13"/>
      <c r="K186" s="12"/>
    </row>
    <row r="187" customFormat="false" ht="15" hidden="false" customHeight="false" outlineLevel="0" collapsed="false">
      <c r="A187" s="24"/>
      <c r="B187" s="13"/>
      <c r="C187" s="13"/>
      <c r="D187" s="19"/>
      <c r="E187" s="12"/>
      <c r="F187" s="13"/>
      <c r="G187" s="13"/>
      <c r="H187" s="13"/>
      <c r="I187" s="13"/>
      <c r="J187" s="13"/>
      <c r="K187" s="12"/>
    </row>
    <row r="188" customFormat="false" ht="15" hidden="false" customHeight="false" outlineLevel="0" collapsed="false">
      <c r="A188" s="24"/>
      <c r="B188" s="13"/>
      <c r="C188" s="13"/>
      <c r="D188" s="19"/>
      <c r="E188" s="12"/>
      <c r="F188" s="13"/>
      <c r="G188" s="13"/>
      <c r="H188" s="13"/>
      <c r="I188" s="13"/>
      <c r="J188" s="13"/>
      <c r="K188" s="12"/>
    </row>
    <row r="189" customFormat="false" ht="15" hidden="false" customHeight="false" outlineLevel="0" collapsed="false">
      <c r="A189" s="24"/>
      <c r="B189" s="13"/>
      <c r="C189" s="13"/>
      <c r="D189" s="19"/>
      <c r="E189" s="12"/>
      <c r="F189" s="13"/>
      <c r="G189" s="13"/>
      <c r="H189" s="13"/>
      <c r="I189" s="13"/>
      <c r="J189" s="13"/>
      <c r="K189" s="12"/>
    </row>
    <row r="190" customFormat="false" ht="15" hidden="false" customHeight="false" outlineLevel="0" collapsed="false">
      <c r="A190" s="24"/>
      <c r="B190" s="13"/>
      <c r="C190" s="13"/>
      <c r="D190" s="19"/>
      <c r="E190" s="12"/>
      <c r="F190" s="13"/>
      <c r="G190" s="13"/>
      <c r="H190" s="13"/>
      <c r="I190" s="13"/>
      <c r="J190" s="13"/>
      <c r="K190" s="12"/>
    </row>
    <row r="191" customFormat="false" ht="15" hidden="false" customHeight="false" outlineLevel="0" collapsed="false">
      <c r="A191" s="24"/>
      <c r="B191" s="13"/>
      <c r="C191" s="13"/>
      <c r="D191" s="19"/>
      <c r="E191" s="12"/>
      <c r="F191" s="13"/>
      <c r="G191" s="13"/>
      <c r="H191" s="13"/>
      <c r="I191" s="13"/>
      <c r="J191" s="13"/>
      <c r="K191" s="12"/>
    </row>
    <row r="192" customFormat="false" ht="15" hidden="false" customHeight="false" outlineLevel="0" collapsed="false">
      <c r="A192" s="24"/>
      <c r="B192" s="13"/>
      <c r="C192" s="13"/>
      <c r="D192" s="19"/>
      <c r="E192" s="12"/>
      <c r="F192" s="13"/>
      <c r="G192" s="13"/>
      <c r="H192" s="13"/>
      <c r="I192" s="13"/>
      <c r="J192" s="13"/>
      <c r="K192" s="12"/>
    </row>
    <row r="193" customFormat="false" ht="15" hidden="false" customHeight="false" outlineLevel="0" collapsed="false">
      <c r="A193" s="24"/>
      <c r="B193" s="13"/>
      <c r="C193" s="13"/>
      <c r="D193" s="19"/>
      <c r="E193" s="12"/>
      <c r="F193" s="13"/>
      <c r="G193" s="13"/>
      <c r="H193" s="13"/>
      <c r="I193" s="13"/>
      <c r="J193" s="13"/>
      <c r="K193" s="12"/>
    </row>
    <row r="194" customFormat="false" ht="15" hidden="false" customHeight="false" outlineLevel="0" collapsed="false">
      <c r="A194" s="24"/>
      <c r="B194" s="13"/>
      <c r="C194" s="13"/>
      <c r="D194" s="19"/>
      <c r="E194" s="12"/>
      <c r="F194" s="13"/>
      <c r="G194" s="13"/>
      <c r="H194" s="13"/>
      <c r="I194" s="13"/>
      <c r="J194" s="13"/>
      <c r="K194" s="12"/>
    </row>
    <row r="195" customFormat="false" ht="15" hidden="false" customHeight="false" outlineLevel="0" collapsed="false">
      <c r="A195" s="24"/>
      <c r="B195" s="13"/>
      <c r="C195" s="13"/>
      <c r="D195" s="19"/>
      <c r="E195" s="12"/>
      <c r="F195" s="13"/>
      <c r="G195" s="13"/>
      <c r="H195" s="13"/>
      <c r="I195" s="13"/>
      <c r="J195" s="13"/>
      <c r="K195" s="12"/>
    </row>
    <row r="196" customFormat="false" ht="15" hidden="false" customHeight="false" outlineLevel="0" collapsed="false">
      <c r="A196" s="24"/>
      <c r="B196" s="13"/>
      <c r="C196" s="13"/>
      <c r="D196" s="19"/>
      <c r="E196" s="12"/>
      <c r="F196" s="13"/>
      <c r="G196" s="13"/>
      <c r="H196" s="13"/>
      <c r="I196" s="13"/>
      <c r="J196" s="13"/>
      <c r="K196" s="12"/>
    </row>
    <row r="197" customFormat="false" ht="15" hidden="false" customHeight="false" outlineLevel="0" collapsed="false">
      <c r="A197" s="24"/>
      <c r="B197" s="13"/>
      <c r="C197" s="13"/>
      <c r="D197" s="19"/>
      <c r="E197" s="12"/>
      <c r="F197" s="13"/>
      <c r="G197" s="13"/>
      <c r="H197" s="13"/>
      <c r="I197" s="13"/>
      <c r="J197" s="13"/>
      <c r="K197" s="12"/>
    </row>
    <row r="198" customFormat="false" ht="15" hidden="false" customHeight="false" outlineLevel="0" collapsed="false">
      <c r="A198" s="24"/>
      <c r="B198" s="13"/>
      <c r="C198" s="13"/>
      <c r="D198" s="19"/>
      <c r="E198" s="12"/>
      <c r="F198" s="13"/>
      <c r="G198" s="13"/>
      <c r="H198" s="13"/>
      <c r="I198" s="13"/>
      <c r="J198" s="13"/>
      <c r="K198" s="12"/>
    </row>
    <row r="199" customFormat="false" ht="15" hidden="false" customHeight="false" outlineLevel="0" collapsed="false">
      <c r="A199" s="24"/>
      <c r="B199" s="13"/>
      <c r="C199" s="13"/>
      <c r="D199" s="19"/>
      <c r="E199" s="12"/>
      <c r="F199" s="13"/>
      <c r="G199" s="13"/>
      <c r="H199" s="13"/>
      <c r="I199" s="13"/>
      <c r="J199" s="13"/>
      <c r="K199" s="12"/>
    </row>
    <row r="200" customFormat="false" ht="15" hidden="false" customHeight="false" outlineLevel="0" collapsed="false">
      <c r="A200" s="24"/>
      <c r="B200" s="13"/>
      <c r="C200" s="13"/>
      <c r="D200" s="19"/>
      <c r="E200" s="12"/>
      <c r="F200" s="13"/>
      <c r="G200" s="13"/>
      <c r="H200" s="13"/>
      <c r="I200" s="13"/>
      <c r="J200" s="13"/>
      <c r="K200" s="12"/>
    </row>
    <row r="201" customFormat="false" ht="15" hidden="false" customHeight="false" outlineLevel="0" collapsed="false">
      <c r="A201" s="24"/>
      <c r="B201" s="13"/>
      <c r="C201" s="13"/>
      <c r="D201" s="19"/>
      <c r="E201" s="12"/>
      <c r="F201" s="13"/>
      <c r="G201" s="13"/>
      <c r="H201" s="13"/>
      <c r="I201" s="13"/>
      <c r="J201" s="13"/>
      <c r="K201" s="12"/>
    </row>
    <row r="202" customFormat="false" ht="15" hidden="false" customHeight="false" outlineLevel="0" collapsed="false">
      <c r="A202" s="24"/>
      <c r="B202" s="13"/>
      <c r="C202" s="13"/>
      <c r="D202" s="19"/>
      <c r="E202" s="12"/>
      <c r="F202" s="13"/>
      <c r="G202" s="13"/>
      <c r="H202" s="13"/>
      <c r="I202" s="13"/>
      <c r="J202" s="13"/>
      <c r="K202" s="12"/>
    </row>
    <row r="203" customFormat="false" ht="15" hidden="false" customHeight="false" outlineLevel="0" collapsed="false">
      <c r="A203" s="24"/>
      <c r="B203" s="13"/>
      <c r="C203" s="13"/>
      <c r="D203" s="19"/>
      <c r="E203" s="12"/>
      <c r="F203" s="13"/>
      <c r="G203" s="13"/>
      <c r="H203" s="13"/>
      <c r="I203" s="13"/>
      <c r="J203" s="13"/>
      <c r="K203" s="12"/>
    </row>
    <row r="204" customFormat="false" ht="15" hidden="false" customHeight="false" outlineLevel="0" collapsed="false">
      <c r="A204" s="24"/>
      <c r="B204" s="13"/>
      <c r="C204" s="13"/>
      <c r="D204" s="19"/>
      <c r="E204" s="12"/>
      <c r="F204" s="13"/>
      <c r="G204" s="13"/>
      <c r="H204" s="13"/>
      <c r="I204" s="13"/>
      <c r="J204" s="13"/>
      <c r="K204" s="12"/>
    </row>
    <row r="205" customFormat="false" ht="15" hidden="false" customHeight="false" outlineLevel="0" collapsed="false">
      <c r="A205" s="24"/>
      <c r="B205" s="13"/>
      <c r="C205" s="13"/>
      <c r="D205" s="19"/>
      <c r="E205" s="12"/>
      <c r="F205" s="13"/>
      <c r="G205" s="13"/>
      <c r="H205" s="13"/>
      <c r="I205" s="13"/>
      <c r="J205" s="13"/>
      <c r="K205" s="12"/>
    </row>
    <row r="206" customFormat="false" ht="15" hidden="false" customHeight="false" outlineLevel="0" collapsed="false">
      <c r="A206" s="24"/>
      <c r="B206" s="13"/>
      <c r="C206" s="13"/>
      <c r="D206" s="19"/>
      <c r="E206" s="12"/>
      <c r="F206" s="13"/>
      <c r="G206" s="13"/>
      <c r="H206" s="13"/>
      <c r="I206" s="13"/>
      <c r="J206" s="13"/>
      <c r="K206" s="12"/>
    </row>
    <row r="207" customFormat="false" ht="15" hidden="false" customHeight="false" outlineLevel="0" collapsed="false">
      <c r="A207" s="24"/>
      <c r="B207" s="13"/>
      <c r="C207" s="13"/>
      <c r="D207" s="19"/>
      <c r="E207" s="12"/>
      <c r="F207" s="13"/>
      <c r="G207" s="13"/>
      <c r="H207" s="13"/>
      <c r="I207" s="13"/>
      <c r="J207" s="13"/>
      <c r="K207" s="12"/>
    </row>
    <row r="208" customFormat="false" ht="15" hidden="false" customHeight="false" outlineLevel="0" collapsed="false">
      <c r="A208" s="24"/>
      <c r="B208" s="13"/>
      <c r="C208" s="13"/>
      <c r="D208" s="19"/>
      <c r="E208" s="12"/>
      <c r="F208" s="13"/>
      <c r="G208" s="13"/>
      <c r="H208" s="13"/>
      <c r="I208" s="13"/>
      <c r="J208" s="13"/>
      <c r="K208" s="12"/>
    </row>
    <row r="209" customFormat="false" ht="15" hidden="false" customHeight="false" outlineLevel="0" collapsed="false">
      <c r="A209" s="24"/>
      <c r="B209" s="13"/>
      <c r="C209" s="13"/>
      <c r="D209" s="19"/>
      <c r="E209" s="12"/>
      <c r="F209" s="13"/>
      <c r="G209" s="13"/>
      <c r="H209" s="13"/>
      <c r="I209" s="13"/>
      <c r="J209" s="13"/>
      <c r="K209" s="12"/>
    </row>
    <row r="210" customFormat="false" ht="15" hidden="false" customHeight="false" outlineLevel="0" collapsed="false">
      <c r="A210" s="24"/>
      <c r="B210" s="13"/>
      <c r="C210" s="13"/>
      <c r="D210" s="19"/>
      <c r="E210" s="12"/>
      <c r="F210" s="13"/>
      <c r="G210" s="13"/>
      <c r="H210" s="13"/>
      <c r="I210" s="13"/>
      <c r="J210" s="13"/>
      <c r="K210" s="12"/>
    </row>
    <row r="211" customFormat="false" ht="15" hidden="false" customHeight="false" outlineLevel="0" collapsed="false">
      <c r="A211" s="24"/>
      <c r="B211" s="13"/>
      <c r="C211" s="13"/>
      <c r="D211" s="19"/>
      <c r="E211" s="12"/>
      <c r="F211" s="13"/>
      <c r="G211" s="13"/>
      <c r="H211" s="13"/>
      <c r="I211" s="13"/>
      <c r="J211" s="13"/>
      <c r="K211" s="12"/>
    </row>
    <row r="212" customFormat="false" ht="15" hidden="false" customHeight="false" outlineLevel="0" collapsed="false">
      <c r="A212" s="24"/>
      <c r="B212" s="13"/>
      <c r="C212" s="13"/>
      <c r="D212" s="19"/>
      <c r="E212" s="12"/>
      <c r="F212" s="13"/>
      <c r="G212" s="13"/>
      <c r="H212" s="13"/>
      <c r="I212" s="13"/>
      <c r="J212" s="13"/>
      <c r="K212" s="12"/>
    </row>
    <row r="213" customFormat="false" ht="15" hidden="false" customHeight="false" outlineLevel="0" collapsed="false">
      <c r="A213" s="24"/>
      <c r="B213" s="13"/>
      <c r="C213" s="13"/>
      <c r="D213" s="19"/>
      <c r="E213" s="12"/>
      <c r="F213" s="13"/>
      <c r="G213" s="13"/>
      <c r="H213" s="13"/>
      <c r="I213" s="13"/>
      <c r="J213" s="13"/>
      <c r="K213" s="12"/>
    </row>
    <row r="214" customFormat="false" ht="15" hidden="false" customHeight="false" outlineLevel="0" collapsed="false">
      <c r="A214" s="24"/>
      <c r="B214" s="13"/>
      <c r="C214" s="13"/>
      <c r="D214" s="19"/>
      <c r="E214" s="12"/>
      <c r="F214" s="13"/>
      <c r="G214" s="13"/>
      <c r="H214" s="13"/>
      <c r="I214" s="13"/>
      <c r="J214" s="13"/>
      <c r="K214" s="12"/>
    </row>
    <row r="215" customFormat="false" ht="15" hidden="false" customHeight="false" outlineLevel="0" collapsed="false">
      <c r="A215" s="24"/>
      <c r="B215" s="13"/>
      <c r="C215" s="13"/>
      <c r="D215" s="19"/>
      <c r="E215" s="12"/>
      <c r="F215" s="13"/>
      <c r="G215" s="13"/>
      <c r="H215" s="13"/>
      <c r="I215" s="13"/>
      <c r="J215" s="13"/>
      <c r="K215" s="12"/>
    </row>
    <row r="216" customFormat="false" ht="15" hidden="false" customHeight="false" outlineLevel="0" collapsed="false">
      <c r="A216" s="24"/>
      <c r="B216" s="13"/>
      <c r="C216" s="13"/>
      <c r="D216" s="19"/>
      <c r="E216" s="12"/>
      <c r="F216" s="13"/>
      <c r="G216" s="13"/>
      <c r="H216" s="13"/>
      <c r="I216" s="13"/>
      <c r="J216" s="13"/>
      <c r="K216" s="12"/>
    </row>
    <row r="217" customFormat="false" ht="15" hidden="false" customHeight="false" outlineLevel="0" collapsed="false">
      <c r="A217" s="24"/>
      <c r="B217" s="13"/>
      <c r="C217" s="13"/>
      <c r="D217" s="19"/>
      <c r="E217" s="12"/>
      <c r="F217" s="13"/>
      <c r="G217" s="13"/>
      <c r="H217" s="13"/>
      <c r="I217" s="13"/>
      <c r="J217" s="13"/>
      <c r="K217" s="12"/>
    </row>
    <row r="218" customFormat="false" ht="15" hidden="false" customHeight="false" outlineLevel="0" collapsed="false">
      <c r="A218" s="24"/>
      <c r="B218" s="13"/>
      <c r="C218" s="13"/>
      <c r="D218" s="19"/>
      <c r="E218" s="12"/>
      <c r="F218" s="13"/>
      <c r="G218" s="13"/>
      <c r="H218" s="13"/>
      <c r="I218" s="13"/>
      <c r="J218" s="13"/>
      <c r="K218" s="12"/>
    </row>
    <row r="219" customFormat="false" ht="15" hidden="false" customHeight="false" outlineLevel="0" collapsed="false">
      <c r="A219" s="24"/>
      <c r="B219" s="13"/>
      <c r="C219" s="13"/>
      <c r="D219" s="19"/>
      <c r="E219" s="12"/>
      <c r="F219" s="13"/>
      <c r="G219" s="13"/>
      <c r="H219" s="13"/>
      <c r="I219" s="13"/>
      <c r="J219" s="13"/>
      <c r="K219" s="12"/>
    </row>
    <row r="220" customFormat="false" ht="15" hidden="false" customHeight="false" outlineLevel="0" collapsed="false">
      <c r="A220" s="24"/>
      <c r="B220" s="13"/>
      <c r="C220" s="13"/>
      <c r="D220" s="19"/>
      <c r="E220" s="12"/>
      <c r="F220" s="13"/>
      <c r="G220" s="13"/>
      <c r="H220" s="13"/>
      <c r="I220" s="13"/>
      <c r="J220" s="13"/>
      <c r="K220" s="12"/>
    </row>
    <row r="221" customFormat="false" ht="15" hidden="false" customHeight="false" outlineLevel="0" collapsed="false">
      <c r="A221" s="24"/>
      <c r="B221" s="13"/>
      <c r="C221" s="13"/>
      <c r="D221" s="19"/>
      <c r="E221" s="12"/>
      <c r="F221" s="13"/>
      <c r="G221" s="13"/>
      <c r="H221" s="13"/>
      <c r="I221" s="13"/>
      <c r="J221" s="13"/>
      <c r="K221" s="12"/>
    </row>
    <row r="222" customFormat="false" ht="15" hidden="false" customHeight="false" outlineLevel="0" collapsed="false">
      <c r="A222" s="24"/>
      <c r="B222" s="13"/>
      <c r="C222" s="13"/>
      <c r="D222" s="19"/>
      <c r="E222" s="12"/>
      <c r="F222" s="13"/>
      <c r="G222" s="13"/>
      <c r="H222" s="13"/>
      <c r="I222" s="13"/>
      <c r="J222" s="13"/>
      <c r="K222" s="12"/>
    </row>
    <row r="223" customFormat="false" ht="15" hidden="false" customHeight="false" outlineLevel="0" collapsed="false">
      <c r="A223" s="24"/>
      <c r="B223" s="13"/>
      <c r="C223" s="13"/>
      <c r="D223" s="19"/>
      <c r="E223" s="12"/>
      <c r="F223" s="13"/>
      <c r="G223" s="13"/>
      <c r="H223" s="13"/>
      <c r="I223" s="13"/>
      <c r="J223" s="13"/>
      <c r="K223" s="12"/>
    </row>
    <row r="224" customFormat="false" ht="15" hidden="false" customHeight="false" outlineLevel="0" collapsed="false">
      <c r="A224" s="24"/>
      <c r="B224" s="13"/>
      <c r="C224" s="13"/>
      <c r="D224" s="19"/>
      <c r="E224" s="12"/>
      <c r="F224" s="13"/>
      <c r="G224" s="13"/>
      <c r="H224" s="13"/>
      <c r="I224" s="13"/>
      <c r="J224" s="13"/>
      <c r="K224" s="12"/>
    </row>
    <row r="225" customFormat="false" ht="15" hidden="false" customHeight="false" outlineLevel="0" collapsed="false">
      <c r="A225" s="24"/>
      <c r="B225" s="13"/>
      <c r="C225" s="13"/>
      <c r="D225" s="19"/>
      <c r="E225" s="12"/>
      <c r="F225" s="13"/>
      <c r="G225" s="13"/>
      <c r="H225" s="13"/>
      <c r="I225" s="13"/>
      <c r="J225" s="13"/>
      <c r="K225" s="12"/>
    </row>
    <row r="226" customFormat="false" ht="15" hidden="false" customHeight="false" outlineLevel="0" collapsed="false">
      <c r="A226" s="24"/>
      <c r="B226" s="13"/>
      <c r="C226" s="13"/>
      <c r="D226" s="19"/>
      <c r="E226" s="12"/>
      <c r="F226" s="13"/>
      <c r="G226" s="13"/>
      <c r="H226" s="13"/>
      <c r="I226" s="13"/>
      <c r="J226" s="13"/>
      <c r="K226" s="12"/>
    </row>
    <row r="227" customFormat="false" ht="15" hidden="false" customHeight="false" outlineLevel="0" collapsed="false">
      <c r="A227" s="24"/>
      <c r="B227" s="13"/>
      <c r="C227" s="13"/>
      <c r="D227" s="19"/>
      <c r="E227" s="12"/>
      <c r="F227" s="13"/>
      <c r="G227" s="13"/>
      <c r="H227" s="13"/>
      <c r="I227" s="13"/>
      <c r="J227" s="13"/>
      <c r="K227" s="12"/>
    </row>
    <row r="228" customFormat="false" ht="15" hidden="false" customHeight="false" outlineLevel="0" collapsed="false">
      <c r="A228" s="24"/>
      <c r="B228" s="13"/>
      <c r="C228" s="13"/>
      <c r="D228" s="19"/>
      <c r="E228" s="12"/>
      <c r="F228" s="13"/>
      <c r="G228" s="13"/>
      <c r="H228" s="13"/>
      <c r="I228" s="13"/>
      <c r="J228" s="13"/>
      <c r="K228" s="12"/>
    </row>
    <row r="229" customFormat="false" ht="15" hidden="false" customHeight="false" outlineLevel="0" collapsed="false">
      <c r="A229" s="24"/>
      <c r="B229" s="13"/>
      <c r="C229" s="13"/>
      <c r="D229" s="19"/>
      <c r="E229" s="12"/>
      <c r="F229" s="13"/>
      <c r="G229" s="13"/>
      <c r="H229" s="13"/>
      <c r="I229" s="13"/>
      <c r="J229" s="13"/>
      <c r="K229" s="12"/>
    </row>
    <row r="230" customFormat="false" ht="15" hidden="false" customHeight="false" outlineLevel="0" collapsed="false">
      <c r="A230" s="24"/>
      <c r="B230" s="13"/>
      <c r="C230" s="13"/>
      <c r="D230" s="19"/>
      <c r="E230" s="12"/>
      <c r="F230" s="13"/>
      <c r="G230" s="13"/>
      <c r="H230" s="13"/>
      <c r="I230" s="13"/>
      <c r="J230" s="13"/>
      <c r="K230" s="12"/>
    </row>
    <row r="231" customFormat="false" ht="15" hidden="false" customHeight="false" outlineLevel="0" collapsed="false">
      <c r="A231" s="24"/>
      <c r="B231" s="13"/>
      <c r="C231" s="13"/>
      <c r="D231" s="19"/>
      <c r="E231" s="12"/>
      <c r="F231" s="13"/>
      <c r="G231" s="13"/>
      <c r="H231" s="13"/>
      <c r="I231" s="13"/>
      <c r="J231" s="13"/>
      <c r="K231" s="12"/>
    </row>
    <row r="232" customFormat="false" ht="15" hidden="false" customHeight="false" outlineLevel="0" collapsed="false">
      <c r="A232" s="24"/>
      <c r="B232" s="13"/>
      <c r="C232" s="13"/>
      <c r="D232" s="19"/>
      <c r="E232" s="12"/>
      <c r="F232" s="13"/>
      <c r="G232" s="13"/>
      <c r="H232" s="13"/>
      <c r="I232" s="13"/>
      <c r="J232" s="13"/>
      <c r="K232" s="12"/>
    </row>
    <row r="233" customFormat="false" ht="15" hidden="false" customHeight="false" outlineLevel="0" collapsed="false">
      <c r="A233" s="24"/>
      <c r="B233" s="13"/>
      <c r="C233" s="13"/>
      <c r="D233" s="19"/>
      <c r="E233" s="12"/>
      <c r="F233" s="13"/>
      <c r="G233" s="13"/>
      <c r="H233" s="13"/>
      <c r="I233" s="13"/>
      <c r="J233" s="13"/>
      <c r="K233" s="12"/>
    </row>
    <row r="234" customFormat="false" ht="15" hidden="false" customHeight="false" outlineLevel="0" collapsed="false">
      <c r="A234" s="24"/>
      <c r="B234" s="13"/>
      <c r="C234" s="13"/>
      <c r="D234" s="19"/>
      <c r="E234" s="12"/>
      <c r="F234" s="13"/>
      <c r="G234" s="13"/>
      <c r="H234" s="13"/>
      <c r="I234" s="13"/>
      <c r="J234" s="13"/>
      <c r="K234" s="12"/>
    </row>
    <row r="235" customFormat="false" ht="15" hidden="false" customHeight="false" outlineLevel="0" collapsed="false">
      <c r="A235" s="24"/>
      <c r="B235" s="13"/>
      <c r="C235" s="13"/>
      <c r="D235" s="19"/>
      <c r="E235" s="12"/>
      <c r="F235" s="13"/>
      <c r="G235" s="13"/>
      <c r="H235" s="13"/>
      <c r="I235" s="13"/>
      <c r="J235" s="13"/>
      <c r="K235" s="12"/>
    </row>
    <row r="236" customFormat="false" ht="15" hidden="false" customHeight="false" outlineLevel="0" collapsed="false">
      <c r="A236" s="24"/>
      <c r="B236" s="13"/>
      <c r="C236" s="13"/>
      <c r="D236" s="19"/>
      <c r="E236" s="12"/>
      <c r="F236" s="13"/>
      <c r="G236" s="13"/>
      <c r="H236" s="13"/>
      <c r="I236" s="13"/>
      <c r="J236" s="13"/>
      <c r="K236" s="12"/>
    </row>
    <row r="237" customFormat="false" ht="15" hidden="false" customHeight="false" outlineLevel="0" collapsed="false">
      <c r="A237" s="24"/>
      <c r="B237" s="13"/>
      <c r="C237" s="13"/>
      <c r="D237" s="19"/>
      <c r="E237" s="12"/>
      <c r="F237" s="13"/>
      <c r="G237" s="13"/>
      <c r="H237" s="13"/>
      <c r="I237" s="13"/>
      <c r="J237" s="13"/>
      <c r="K237" s="12"/>
    </row>
    <row r="238" customFormat="false" ht="15" hidden="false" customHeight="false" outlineLevel="0" collapsed="false">
      <c r="A238" s="24"/>
      <c r="B238" s="13"/>
      <c r="C238" s="13"/>
      <c r="D238" s="19"/>
      <c r="E238" s="12"/>
      <c r="F238" s="13"/>
      <c r="G238" s="13"/>
      <c r="H238" s="13"/>
      <c r="I238" s="13"/>
      <c r="J238" s="13"/>
      <c r="K238" s="12"/>
    </row>
    <row r="239" customFormat="false" ht="15" hidden="false" customHeight="false" outlineLevel="0" collapsed="false">
      <c r="A239" s="24"/>
      <c r="B239" s="13"/>
      <c r="C239" s="13"/>
      <c r="D239" s="19"/>
      <c r="E239" s="12"/>
      <c r="F239" s="13"/>
      <c r="G239" s="13"/>
      <c r="H239" s="13"/>
      <c r="I239" s="13"/>
      <c r="J239" s="13"/>
      <c r="K239" s="12"/>
    </row>
    <row r="240" customFormat="false" ht="15" hidden="false" customHeight="false" outlineLevel="0" collapsed="false">
      <c r="A240" s="24"/>
      <c r="B240" s="13"/>
      <c r="C240" s="13"/>
      <c r="D240" s="19"/>
      <c r="E240" s="12"/>
      <c r="F240" s="13"/>
      <c r="G240" s="13"/>
      <c r="H240" s="13"/>
      <c r="I240" s="13"/>
      <c r="J240" s="13"/>
      <c r="K240" s="12"/>
    </row>
    <row r="241" customFormat="false" ht="15" hidden="false" customHeight="false" outlineLevel="0" collapsed="false">
      <c r="A241" s="24"/>
      <c r="B241" s="13"/>
      <c r="C241" s="13"/>
      <c r="D241" s="19"/>
      <c r="E241" s="12"/>
      <c r="F241" s="13"/>
      <c r="G241" s="13"/>
      <c r="H241" s="13"/>
      <c r="I241" s="13"/>
      <c r="J241" s="13"/>
      <c r="K241" s="12"/>
    </row>
    <row r="242" customFormat="false" ht="15" hidden="false" customHeight="false" outlineLevel="0" collapsed="false">
      <c r="A242" s="24"/>
      <c r="B242" s="13"/>
      <c r="C242" s="13"/>
      <c r="D242" s="19"/>
      <c r="E242" s="12"/>
      <c r="F242" s="13"/>
      <c r="G242" s="13"/>
      <c r="H242" s="13"/>
      <c r="I242" s="13"/>
      <c r="J242" s="13"/>
      <c r="K242" s="12"/>
    </row>
    <row r="243" customFormat="false" ht="15" hidden="false" customHeight="false" outlineLevel="0" collapsed="false">
      <c r="A243" s="24"/>
      <c r="B243" s="13"/>
      <c r="C243" s="13"/>
      <c r="D243" s="19"/>
      <c r="E243" s="12"/>
      <c r="F243" s="13"/>
      <c r="G243" s="13"/>
      <c r="H243" s="13"/>
      <c r="I243" s="13"/>
      <c r="J243" s="13"/>
      <c r="K243" s="12"/>
    </row>
    <row r="244" customFormat="false" ht="15" hidden="false" customHeight="false" outlineLevel="0" collapsed="false">
      <c r="A244" s="24"/>
      <c r="B244" s="13"/>
      <c r="C244" s="13"/>
      <c r="D244" s="19"/>
      <c r="E244" s="12"/>
      <c r="F244" s="13"/>
      <c r="G244" s="13"/>
      <c r="H244" s="13"/>
      <c r="I244" s="13"/>
      <c r="J244" s="13"/>
      <c r="K244" s="12"/>
    </row>
    <row r="245" customFormat="false" ht="15" hidden="false" customHeight="false" outlineLevel="0" collapsed="false">
      <c r="A245" s="24"/>
      <c r="B245" s="13"/>
      <c r="C245" s="13"/>
      <c r="D245" s="19"/>
      <c r="E245" s="12"/>
      <c r="F245" s="13"/>
      <c r="G245" s="13"/>
      <c r="H245" s="13"/>
      <c r="I245" s="13"/>
      <c r="J245" s="13"/>
      <c r="K245" s="12"/>
    </row>
    <row r="246" customFormat="false" ht="15" hidden="false" customHeight="false" outlineLevel="0" collapsed="false">
      <c r="A246" s="24"/>
      <c r="B246" s="13"/>
      <c r="C246" s="13"/>
      <c r="D246" s="19"/>
      <c r="E246" s="12"/>
      <c r="F246" s="13"/>
      <c r="G246" s="13"/>
      <c r="H246" s="13"/>
      <c r="I246" s="13"/>
      <c r="J246" s="13"/>
      <c r="K246" s="12"/>
    </row>
    <row r="247" customFormat="false" ht="15" hidden="false" customHeight="false" outlineLevel="0" collapsed="false">
      <c r="A247" s="24"/>
      <c r="B247" s="13"/>
      <c r="C247" s="13"/>
      <c r="D247" s="19"/>
      <c r="E247" s="12"/>
      <c r="F247" s="13"/>
      <c r="G247" s="13"/>
      <c r="H247" s="13"/>
      <c r="I247" s="13"/>
      <c r="J247" s="13"/>
      <c r="K247" s="12"/>
    </row>
    <row r="248" customFormat="false" ht="15" hidden="false" customHeight="false" outlineLevel="0" collapsed="false">
      <c r="A248" s="24"/>
      <c r="B248" s="13"/>
      <c r="C248" s="13"/>
      <c r="D248" s="19"/>
      <c r="E248" s="12"/>
      <c r="F248" s="13"/>
      <c r="G248" s="13"/>
      <c r="H248" s="13"/>
      <c r="I248" s="13"/>
      <c r="J248" s="13"/>
      <c r="K248" s="12"/>
    </row>
    <row r="249" customFormat="false" ht="15" hidden="false" customHeight="false" outlineLevel="0" collapsed="false">
      <c r="A249" s="24"/>
      <c r="B249" s="13"/>
      <c r="C249" s="13"/>
      <c r="D249" s="19"/>
      <c r="E249" s="12"/>
      <c r="F249" s="13"/>
      <c r="G249" s="13"/>
      <c r="H249" s="13"/>
      <c r="I249" s="13"/>
      <c r="J249" s="13"/>
      <c r="K249" s="12"/>
    </row>
    <row r="250" customFormat="false" ht="15" hidden="false" customHeight="false" outlineLevel="0" collapsed="false">
      <c r="A250" s="24"/>
      <c r="B250" s="13"/>
      <c r="C250" s="13"/>
      <c r="D250" s="19"/>
      <c r="E250" s="12"/>
      <c r="F250" s="13"/>
      <c r="G250" s="13"/>
      <c r="H250" s="13"/>
      <c r="I250" s="13"/>
      <c r="J250" s="13"/>
      <c r="K250" s="12"/>
    </row>
    <row r="251" customFormat="false" ht="15" hidden="false" customHeight="false" outlineLevel="0" collapsed="false">
      <c r="A251" s="24"/>
      <c r="B251" s="13"/>
      <c r="C251" s="13"/>
      <c r="D251" s="19"/>
      <c r="E251" s="12"/>
      <c r="F251" s="13"/>
      <c r="G251" s="13"/>
      <c r="H251" s="13"/>
      <c r="I251" s="13"/>
      <c r="J251" s="13"/>
      <c r="K251" s="12"/>
    </row>
    <row r="252" customFormat="false" ht="15" hidden="false" customHeight="false" outlineLevel="0" collapsed="false">
      <c r="A252" s="24"/>
      <c r="B252" s="13"/>
      <c r="C252" s="13"/>
      <c r="D252" s="19"/>
      <c r="E252" s="12"/>
      <c r="F252" s="13"/>
      <c r="G252" s="13"/>
      <c r="H252" s="13"/>
      <c r="I252" s="13"/>
      <c r="J252" s="13"/>
      <c r="K252" s="12"/>
    </row>
    <row r="253" customFormat="false" ht="15" hidden="false" customHeight="false" outlineLevel="0" collapsed="false">
      <c r="A253" s="24"/>
      <c r="B253" s="13"/>
      <c r="C253" s="13"/>
      <c r="D253" s="19"/>
      <c r="E253" s="12"/>
      <c r="F253" s="13"/>
      <c r="G253" s="13"/>
      <c r="H253" s="13"/>
      <c r="I253" s="13"/>
      <c r="J253" s="13"/>
      <c r="K253" s="12"/>
    </row>
    <row r="254" customFormat="false" ht="15" hidden="false" customHeight="false" outlineLevel="0" collapsed="false">
      <c r="A254" s="24"/>
      <c r="B254" s="13"/>
      <c r="C254" s="13"/>
      <c r="D254" s="19"/>
      <c r="E254" s="12"/>
      <c r="F254" s="13"/>
      <c r="G254" s="13"/>
      <c r="H254" s="13"/>
      <c r="I254" s="13"/>
      <c r="J254" s="13"/>
      <c r="K254" s="12"/>
    </row>
    <row r="255" customFormat="false" ht="15" hidden="false" customHeight="false" outlineLevel="0" collapsed="false">
      <c r="A255" s="24"/>
      <c r="B255" s="13"/>
      <c r="C255" s="13"/>
      <c r="D255" s="19"/>
      <c r="E255" s="12"/>
      <c r="F255" s="13"/>
      <c r="G255" s="13"/>
      <c r="H255" s="13"/>
      <c r="I255" s="13"/>
      <c r="J255" s="13"/>
      <c r="K255" s="12"/>
    </row>
    <row r="256" customFormat="false" ht="15" hidden="false" customHeight="false" outlineLevel="0" collapsed="false">
      <c r="A256" s="24"/>
      <c r="B256" s="13"/>
      <c r="C256" s="13"/>
      <c r="D256" s="19"/>
      <c r="E256" s="12"/>
      <c r="F256" s="13"/>
      <c r="G256" s="13"/>
      <c r="H256" s="13"/>
      <c r="I256" s="13"/>
      <c r="J256" s="13"/>
      <c r="K256" s="12"/>
    </row>
    <row r="257" customFormat="false" ht="15" hidden="false" customHeight="false" outlineLevel="0" collapsed="false">
      <c r="A257" s="24"/>
      <c r="B257" s="13"/>
      <c r="C257" s="13"/>
      <c r="D257" s="19"/>
      <c r="E257" s="12"/>
      <c r="F257" s="13"/>
      <c r="G257" s="13"/>
      <c r="H257" s="13"/>
      <c r="I257" s="13"/>
      <c r="J257" s="13"/>
      <c r="K257" s="12"/>
    </row>
    <row r="258" customFormat="false" ht="15" hidden="false" customHeight="false" outlineLevel="0" collapsed="false">
      <c r="A258" s="24"/>
      <c r="B258" s="13"/>
      <c r="C258" s="13"/>
      <c r="D258" s="19"/>
      <c r="E258" s="12"/>
      <c r="F258" s="13"/>
      <c r="G258" s="13"/>
      <c r="H258" s="13"/>
      <c r="I258" s="13"/>
      <c r="J258" s="13"/>
      <c r="K258" s="12"/>
    </row>
    <row r="259" customFormat="false" ht="15" hidden="false" customHeight="false" outlineLevel="0" collapsed="false">
      <c r="A259" s="24"/>
      <c r="B259" s="13"/>
      <c r="C259" s="13"/>
      <c r="D259" s="19"/>
      <c r="E259" s="12"/>
      <c r="F259" s="13"/>
      <c r="G259" s="13"/>
      <c r="H259" s="13"/>
      <c r="I259" s="13"/>
      <c r="J259" s="13"/>
      <c r="K259" s="12"/>
    </row>
    <row r="260" customFormat="false" ht="15" hidden="false" customHeight="false" outlineLevel="0" collapsed="false">
      <c r="A260" s="24"/>
      <c r="B260" s="13"/>
      <c r="C260" s="13"/>
      <c r="D260" s="19"/>
      <c r="E260" s="12"/>
      <c r="F260" s="13"/>
      <c r="G260" s="13"/>
      <c r="H260" s="13"/>
      <c r="I260" s="13"/>
      <c r="J260" s="13"/>
      <c r="K260" s="12"/>
    </row>
    <row r="261" customFormat="false" ht="15" hidden="false" customHeight="false" outlineLevel="0" collapsed="false">
      <c r="A261" s="24"/>
      <c r="B261" s="13"/>
      <c r="C261" s="13"/>
      <c r="D261" s="19"/>
      <c r="E261" s="12"/>
      <c r="F261" s="13"/>
      <c r="G261" s="13"/>
      <c r="H261" s="13"/>
      <c r="I261" s="13"/>
      <c r="J261" s="13"/>
      <c r="K261" s="12"/>
    </row>
    <row r="262" customFormat="false" ht="15" hidden="false" customHeight="false" outlineLevel="0" collapsed="false">
      <c r="A262" s="24"/>
      <c r="B262" s="13"/>
      <c r="C262" s="13"/>
      <c r="D262" s="19"/>
      <c r="E262" s="12"/>
      <c r="F262" s="13"/>
      <c r="G262" s="13"/>
      <c r="H262" s="13"/>
      <c r="I262" s="13"/>
      <c r="J262" s="13"/>
      <c r="K262" s="12"/>
    </row>
    <row r="263" customFormat="false" ht="15" hidden="false" customHeight="false" outlineLevel="0" collapsed="false">
      <c r="A263" s="24"/>
      <c r="B263" s="13"/>
      <c r="C263" s="13"/>
      <c r="D263" s="19"/>
      <c r="E263" s="12"/>
      <c r="F263" s="13"/>
      <c r="G263" s="13"/>
      <c r="H263" s="13"/>
      <c r="I263" s="13"/>
      <c r="J263" s="13"/>
      <c r="K263" s="12"/>
    </row>
    <row r="264" customFormat="false" ht="15" hidden="false" customHeight="false" outlineLevel="0" collapsed="false">
      <c r="A264" s="24"/>
      <c r="B264" s="13"/>
      <c r="C264" s="13"/>
      <c r="D264" s="19"/>
      <c r="E264" s="12"/>
      <c r="F264" s="13"/>
      <c r="G264" s="13"/>
      <c r="H264" s="13"/>
      <c r="I264" s="13"/>
      <c r="J264" s="13"/>
      <c r="K264" s="12"/>
    </row>
    <row r="265" customFormat="false" ht="15" hidden="false" customHeight="false" outlineLevel="0" collapsed="false">
      <c r="A265" s="24"/>
      <c r="B265" s="13"/>
      <c r="C265" s="13"/>
      <c r="D265" s="19"/>
      <c r="E265" s="12"/>
      <c r="F265" s="13"/>
      <c r="G265" s="13"/>
      <c r="H265" s="13"/>
      <c r="I265" s="13"/>
      <c r="J265" s="13"/>
      <c r="K265" s="12"/>
    </row>
    <row r="266" customFormat="false" ht="15" hidden="false" customHeight="false" outlineLevel="0" collapsed="false">
      <c r="A266" s="24"/>
      <c r="B266" s="13"/>
      <c r="C266" s="13"/>
      <c r="D266" s="19"/>
      <c r="E266" s="12"/>
      <c r="F266" s="13"/>
      <c r="G266" s="13"/>
      <c r="H266" s="13"/>
      <c r="I266" s="13"/>
      <c r="J266" s="13"/>
      <c r="K266" s="12"/>
    </row>
    <row r="267" customFormat="false" ht="15" hidden="false" customHeight="false" outlineLevel="0" collapsed="false">
      <c r="A267" s="24"/>
      <c r="B267" s="13"/>
      <c r="C267" s="13"/>
      <c r="D267" s="19"/>
      <c r="E267" s="12"/>
      <c r="F267" s="13"/>
      <c r="G267" s="13"/>
      <c r="H267" s="13"/>
      <c r="I267" s="13"/>
      <c r="J267" s="13"/>
      <c r="K267" s="12"/>
    </row>
    <row r="268" customFormat="false" ht="15" hidden="false" customHeight="false" outlineLevel="0" collapsed="false">
      <c r="A268" s="24"/>
      <c r="B268" s="13"/>
      <c r="C268" s="13"/>
      <c r="D268" s="19"/>
      <c r="E268" s="12"/>
      <c r="F268" s="13"/>
      <c r="G268" s="13"/>
      <c r="H268" s="13"/>
      <c r="I268" s="13"/>
      <c r="J268" s="13"/>
      <c r="K268" s="12"/>
    </row>
    <row r="269" customFormat="false" ht="15" hidden="false" customHeight="false" outlineLevel="0" collapsed="false">
      <c r="A269" s="24"/>
      <c r="B269" s="13"/>
      <c r="C269" s="13"/>
      <c r="D269" s="19"/>
      <c r="E269" s="12"/>
      <c r="F269" s="13"/>
      <c r="G269" s="13"/>
      <c r="H269" s="13"/>
      <c r="I269" s="13"/>
      <c r="J269" s="13"/>
      <c r="K269" s="12"/>
    </row>
    <row r="270" customFormat="false" ht="15" hidden="false" customHeight="false" outlineLevel="0" collapsed="false">
      <c r="A270" s="24"/>
      <c r="B270" s="13"/>
      <c r="C270" s="13"/>
      <c r="D270" s="19"/>
      <c r="E270" s="12"/>
      <c r="F270" s="13"/>
      <c r="G270" s="13"/>
      <c r="H270" s="13"/>
      <c r="I270" s="13"/>
      <c r="J270" s="13"/>
      <c r="K270" s="12"/>
    </row>
    <row r="271" customFormat="false" ht="15" hidden="false" customHeight="false" outlineLevel="0" collapsed="false">
      <c r="A271" s="24"/>
      <c r="B271" s="13"/>
      <c r="C271" s="13"/>
      <c r="D271" s="19"/>
      <c r="E271" s="12"/>
      <c r="F271" s="13"/>
      <c r="G271" s="13"/>
      <c r="H271" s="13"/>
      <c r="I271" s="13"/>
      <c r="J271" s="13"/>
      <c r="K271" s="12"/>
    </row>
    <row r="272" customFormat="false" ht="15" hidden="false" customHeight="false" outlineLevel="0" collapsed="false">
      <c r="A272" s="24"/>
      <c r="B272" s="13"/>
      <c r="C272" s="13"/>
      <c r="D272" s="19"/>
      <c r="E272" s="12"/>
      <c r="F272" s="13"/>
      <c r="G272" s="13"/>
      <c r="H272" s="13"/>
      <c r="I272" s="13"/>
      <c r="J272" s="13"/>
      <c r="K272" s="12"/>
    </row>
    <row r="273" customFormat="false" ht="15" hidden="false" customHeight="false" outlineLevel="0" collapsed="false">
      <c r="A273" s="24"/>
      <c r="B273" s="13"/>
      <c r="C273" s="13"/>
      <c r="D273" s="19"/>
      <c r="E273" s="12"/>
      <c r="F273" s="13"/>
      <c r="G273" s="13"/>
      <c r="H273" s="13"/>
      <c r="I273" s="13"/>
      <c r="J273" s="13"/>
      <c r="K273" s="12"/>
    </row>
    <row r="274" customFormat="false" ht="15" hidden="false" customHeight="false" outlineLevel="0" collapsed="false">
      <c r="A274" s="24"/>
      <c r="B274" s="13"/>
      <c r="C274" s="13"/>
      <c r="D274" s="19"/>
      <c r="E274" s="12"/>
      <c r="F274" s="13"/>
      <c r="G274" s="13"/>
      <c r="H274" s="13"/>
      <c r="I274" s="13"/>
      <c r="J274" s="13"/>
      <c r="K274" s="12"/>
    </row>
    <row r="275" customFormat="false" ht="15" hidden="false" customHeight="false" outlineLevel="0" collapsed="false">
      <c r="A275" s="24"/>
      <c r="B275" s="13"/>
      <c r="C275" s="13"/>
      <c r="D275" s="19"/>
      <c r="E275" s="12"/>
      <c r="F275" s="13"/>
      <c r="G275" s="13"/>
      <c r="H275" s="13"/>
      <c r="I275" s="13"/>
      <c r="J275" s="13"/>
      <c r="K275" s="12"/>
    </row>
    <row r="276" customFormat="false" ht="15" hidden="false" customHeight="false" outlineLevel="0" collapsed="false">
      <c r="A276" s="24"/>
      <c r="B276" s="13"/>
      <c r="C276" s="13"/>
      <c r="D276" s="19"/>
      <c r="E276" s="12"/>
      <c r="F276" s="13"/>
      <c r="G276" s="13"/>
      <c r="H276" s="13"/>
      <c r="I276" s="13"/>
      <c r="J276" s="13"/>
      <c r="K276" s="12"/>
    </row>
    <row r="277" customFormat="false" ht="15" hidden="false" customHeight="false" outlineLevel="0" collapsed="false">
      <c r="A277" s="24"/>
      <c r="B277" s="13"/>
      <c r="C277" s="13"/>
      <c r="D277" s="19"/>
      <c r="E277" s="12"/>
      <c r="F277" s="13"/>
      <c r="G277" s="13"/>
      <c r="H277" s="13"/>
      <c r="I277" s="13"/>
      <c r="J277" s="13"/>
      <c r="K277" s="12"/>
    </row>
    <row r="278" customFormat="false" ht="15" hidden="false" customHeight="false" outlineLevel="0" collapsed="false">
      <c r="A278" s="24"/>
      <c r="B278" s="13"/>
      <c r="C278" s="13"/>
      <c r="D278" s="19"/>
      <c r="E278" s="12"/>
      <c r="F278" s="13"/>
      <c r="G278" s="13"/>
      <c r="H278" s="13"/>
      <c r="I278" s="13"/>
      <c r="J278" s="13"/>
      <c r="K278" s="12"/>
    </row>
    <row r="279" customFormat="false" ht="15" hidden="false" customHeight="false" outlineLevel="0" collapsed="false">
      <c r="A279" s="24"/>
      <c r="B279" s="13"/>
      <c r="C279" s="13"/>
      <c r="D279" s="19"/>
      <c r="E279" s="12"/>
      <c r="F279" s="13"/>
      <c r="G279" s="13"/>
      <c r="H279" s="13"/>
      <c r="I279" s="13"/>
      <c r="J279" s="13"/>
      <c r="K279" s="12"/>
    </row>
    <row r="280" customFormat="false" ht="15" hidden="false" customHeight="false" outlineLevel="0" collapsed="false">
      <c r="A280" s="24"/>
      <c r="B280" s="13"/>
      <c r="C280" s="13"/>
      <c r="D280" s="19"/>
      <c r="E280" s="12"/>
      <c r="F280" s="13"/>
      <c r="G280" s="13"/>
      <c r="H280" s="13"/>
      <c r="I280" s="13"/>
      <c r="J280" s="13"/>
      <c r="K280" s="12"/>
    </row>
    <row r="281" customFormat="false" ht="15" hidden="false" customHeight="false" outlineLevel="0" collapsed="false">
      <c r="A281" s="24"/>
      <c r="B281" s="13"/>
      <c r="C281" s="13"/>
      <c r="D281" s="19"/>
      <c r="E281" s="12"/>
      <c r="F281" s="13"/>
      <c r="G281" s="13"/>
      <c r="H281" s="13"/>
      <c r="I281" s="13"/>
      <c r="J281" s="13"/>
      <c r="K281" s="12"/>
    </row>
    <row r="282" customFormat="false" ht="15" hidden="false" customHeight="false" outlineLevel="0" collapsed="false">
      <c r="A282" s="24"/>
      <c r="B282" s="13"/>
      <c r="C282" s="13"/>
      <c r="D282" s="19"/>
      <c r="E282" s="12"/>
      <c r="F282" s="13"/>
      <c r="G282" s="13"/>
      <c r="H282" s="13"/>
      <c r="I282" s="13"/>
      <c r="J282" s="13"/>
      <c r="K282" s="12"/>
    </row>
    <row r="283" customFormat="false" ht="15" hidden="false" customHeight="false" outlineLevel="0" collapsed="false">
      <c r="A283" s="24"/>
      <c r="B283" s="13"/>
      <c r="C283" s="13"/>
      <c r="D283" s="19"/>
      <c r="E283" s="12"/>
      <c r="F283" s="13"/>
      <c r="G283" s="13"/>
      <c r="H283" s="13"/>
      <c r="I283" s="13"/>
      <c r="J283" s="13"/>
      <c r="K283" s="12"/>
    </row>
    <row r="284" customFormat="false" ht="15" hidden="false" customHeight="false" outlineLevel="0" collapsed="false">
      <c r="A284" s="24"/>
      <c r="B284" s="13"/>
      <c r="C284" s="13"/>
      <c r="D284" s="19"/>
      <c r="E284" s="12"/>
      <c r="F284" s="13"/>
      <c r="G284" s="13"/>
      <c r="H284" s="13"/>
      <c r="I284" s="13"/>
      <c r="J284" s="13"/>
      <c r="K284" s="12"/>
    </row>
    <row r="285" customFormat="false" ht="15" hidden="false" customHeight="false" outlineLevel="0" collapsed="false">
      <c r="A285" s="24"/>
      <c r="B285" s="13"/>
      <c r="C285" s="13"/>
      <c r="D285" s="19"/>
      <c r="E285" s="12"/>
      <c r="F285" s="13"/>
      <c r="G285" s="13"/>
      <c r="H285" s="13"/>
      <c r="I285" s="13"/>
      <c r="J285" s="13"/>
      <c r="K285" s="12"/>
    </row>
    <row r="286" customFormat="false" ht="15" hidden="false" customHeight="false" outlineLevel="0" collapsed="false">
      <c r="A286" s="24"/>
      <c r="B286" s="13"/>
      <c r="C286" s="13"/>
      <c r="D286" s="19"/>
      <c r="E286" s="12"/>
      <c r="F286" s="13"/>
      <c r="G286" s="13"/>
      <c r="H286" s="13"/>
      <c r="I286" s="13"/>
      <c r="J286" s="13"/>
      <c r="K286" s="12"/>
    </row>
    <row r="287" customFormat="false" ht="15" hidden="false" customHeight="false" outlineLevel="0" collapsed="false">
      <c r="A287" s="24"/>
      <c r="B287" s="13"/>
      <c r="C287" s="13"/>
      <c r="D287" s="19"/>
      <c r="E287" s="12"/>
      <c r="F287" s="13"/>
      <c r="G287" s="13"/>
      <c r="H287" s="13"/>
      <c r="I287" s="13"/>
      <c r="J287" s="13"/>
      <c r="K287" s="12"/>
    </row>
    <row r="288" customFormat="false" ht="15" hidden="false" customHeight="false" outlineLevel="0" collapsed="false">
      <c r="A288" s="24"/>
      <c r="B288" s="13"/>
      <c r="C288" s="13"/>
      <c r="D288" s="19"/>
      <c r="E288" s="12"/>
      <c r="F288" s="13"/>
      <c r="G288" s="13"/>
      <c r="H288" s="13"/>
      <c r="I288" s="13"/>
      <c r="J288" s="13"/>
      <c r="K288" s="12"/>
    </row>
    <row r="289" customFormat="false" ht="15" hidden="false" customHeight="false" outlineLevel="0" collapsed="false">
      <c r="A289" s="24"/>
      <c r="B289" s="13"/>
      <c r="C289" s="13"/>
      <c r="D289" s="19"/>
      <c r="E289" s="12"/>
      <c r="F289" s="13"/>
      <c r="G289" s="13"/>
      <c r="H289" s="13"/>
      <c r="I289" s="13"/>
      <c r="J289" s="13"/>
      <c r="K289" s="12"/>
    </row>
    <row r="290" customFormat="false" ht="15" hidden="false" customHeight="false" outlineLevel="0" collapsed="false">
      <c r="A290" s="24"/>
      <c r="B290" s="13"/>
      <c r="C290" s="13"/>
      <c r="D290" s="19"/>
      <c r="E290" s="12"/>
      <c r="F290" s="13"/>
      <c r="G290" s="13"/>
      <c r="H290" s="13"/>
      <c r="I290" s="13"/>
      <c r="J290" s="13"/>
      <c r="K290" s="12"/>
    </row>
    <row r="291" customFormat="false" ht="15" hidden="false" customHeight="false" outlineLevel="0" collapsed="false">
      <c r="A291" s="24"/>
      <c r="B291" s="13"/>
      <c r="C291" s="13"/>
      <c r="D291" s="19"/>
      <c r="E291" s="12"/>
      <c r="F291" s="13"/>
      <c r="G291" s="13"/>
      <c r="H291" s="13"/>
      <c r="I291" s="13"/>
      <c r="J291" s="13"/>
      <c r="K291" s="12"/>
    </row>
    <row r="292" customFormat="false" ht="15" hidden="false" customHeight="false" outlineLevel="0" collapsed="false">
      <c r="A292" s="24"/>
      <c r="B292" s="13"/>
      <c r="C292" s="13"/>
      <c r="D292" s="19"/>
      <c r="E292" s="12"/>
      <c r="F292" s="13"/>
      <c r="G292" s="13"/>
      <c r="H292" s="13"/>
      <c r="I292" s="13"/>
      <c r="J292" s="13"/>
      <c r="K292" s="12"/>
    </row>
    <row r="293" customFormat="false" ht="15" hidden="false" customHeight="false" outlineLevel="0" collapsed="false">
      <c r="A293" s="24"/>
      <c r="B293" s="13"/>
      <c r="C293" s="13"/>
      <c r="D293" s="19"/>
      <c r="E293" s="12"/>
      <c r="F293" s="13"/>
      <c r="G293" s="13"/>
      <c r="H293" s="13"/>
      <c r="I293" s="13"/>
      <c r="J293" s="13"/>
      <c r="K293" s="12"/>
    </row>
    <row r="294" customFormat="false" ht="15" hidden="false" customHeight="false" outlineLevel="0" collapsed="false">
      <c r="A294" s="24"/>
      <c r="B294" s="13"/>
      <c r="C294" s="13"/>
      <c r="D294" s="19"/>
      <c r="E294" s="12"/>
      <c r="F294" s="13"/>
      <c r="G294" s="13"/>
      <c r="H294" s="13"/>
      <c r="I294" s="13"/>
      <c r="J294" s="13"/>
      <c r="K294" s="12"/>
    </row>
    <row r="295" customFormat="false" ht="15" hidden="false" customHeight="false" outlineLevel="0" collapsed="false">
      <c r="A295" s="24"/>
      <c r="B295" s="13"/>
      <c r="C295" s="13"/>
      <c r="D295" s="19"/>
      <c r="E295" s="12"/>
      <c r="F295" s="13"/>
      <c r="G295" s="13"/>
      <c r="H295" s="13"/>
      <c r="I295" s="13"/>
      <c r="J295" s="13"/>
      <c r="K295" s="12"/>
    </row>
    <row r="296" customFormat="false" ht="15" hidden="false" customHeight="false" outlineLevel="0" collapsed="false">
      <c r="A296" s="24"/>
      <c r="B296" s="13"/>
      <c r="C296" s="13"/>
      <c r="D296" s="19"/>
      <c r="E296" s="12"/>
      <c r="F296" s="13"/>
      <c r="G296" s="13"/>
      <c r="H296" s="13"/>
      <c r="I296" s="13"/>
      <c r="J296" s="13"/>
      <c r="K296" s="12"/>
    </row>
    <row r="297" customFormat="false" ht="15" hidden="false" customHeight="false" outlineLevel="0" collapsed="false">
      <c r="A297" s="24"/>
      <c r="B297" s="13"/>
      <c r="C297" s="13"/>
      <c r="D297" s="19"/>
      <c r="E297" s="12"/>
      <c r="F297" s="13"/>
      <c r="G297" s="13"/>
      <c r="H297" s="13"/>
      <c r="I297" s="13"/>
      <c r="J297" s="13"/>
      <c r="K297" s="12"/>
    </row>
    <row r="298" customFormat="false" ht="15" hidden="false" customHeight="false" outlineLevel="0" collapsed="false">
      <c r="A298" s="24"/>
      <c r="B298" s="13"/>
      <c r="C298" s="13"/>
      <c r="D298" s="19"/>
      <c r="E298" s="12"/>
      <c r="F298" s="13"/>
      <c r="G298" s="13"/>
      <c r="H298" s="13"/>
      <c r="I298" s="13"/>
      <c r="J298" s="13"/>
      <c r="K298" s="12"/>
    </row>
    <row r="299" customFormat="false" ht="15" hidden="false" customHeight="false" outlineLevel="0" collapsed="false">
      <c r="A299" s="24"/>
      <c r="B299" s="13"/>
      <c r="C299" s="13"/>
      <c r="D299" s="19"/>
      <c r="E299" s="12"/>
      <c r="F299" s="13"/>
      <c r="G299" s="13"/>
      <c r="H299" s="13"/>
      <c r="I299" s="13"/>
      <c r="J299" s="13"/>
      <c r="K299" s="12"/>
    </row>
    <row r="300" customFormat="false" ht="15" hidden="false" customHeight="false" outlineLevel="0" collapsed="false">
      <c r="A300" s="24"/>
      <c r="B300" s="13"/>
      <c r="C300" s="13"/>
      <c r="D300" s="19"/>
      <c r="E300" s="12"/>
      <c r="F300" s="13"/>
      <c r="G300" s="13"/>
      <c r="H300" s="13"/>
      <c r="I300" s="13"/>
      <c r="J300" s="13"/>
      <c r="K300" s="12"/>
    </row>
    <row r="301" customFormat="false" ht="15" hidden="false" customHeight="false" outlineLevel="0" collapsed="false">
      <c r="A301" s="24"/>
      <c r="B301" s="13"/>
      <c r="C301" s="13"/>
      <c r="D301" s="19"/>
      <c r="E301" s="12"/>
      <c r="F301" s="13"/>
      <c r="G301" s="13"/>
      <c r="H301" s="13"/>
      <c r="I301" s="13"/>
      <c r="J301" s="13"/>
      <c r="K301" s="12"/>
    </row>
    <row r="302" customFormat="false" ht="15" hidden="false" customHeight="false" outlineLevel="0" collapsed="false">
      <c r="A302" s="24"/>
      <c r="B302" s="13"/>
      <c r="C302" s="13"/>
      <c r="D302" s="19"/>
      <c r="E302" s="12"/>
      <c r="F302" s="13"/>
      <c r="G302" s="13"/>
      <c r="H302" s="13"/>
      <c r="I302" s="13"/>
      <c r="J302" s="13"/>
      <c r="K302" s="12"/>
    </row>
  </sheetData>
  <mergeCells count="1">
    <mergeCell ref="A1:K1"/>
  </mergeCells>
  <conditionalFormatting sqref="J3:J302">
    <cfRule type="cellIs" priority="2" operator="equal" aboveAverage="0" equalAverage="0" bottom="0" percent="0" rank="0" text="" dxfId="3">
      <formula>"Adesão"</formula>
    </cfRule>
    <cfRule type="cellIs" priority="3" operator="equal" aboveAverage="0" equalAverage="0" bottom="0" percent="0" rank="0" text="" dxfId="4">
      <formula>"Não adesão"</formula>
    </cfRule>
  </conditionalFormatting>
  <conditionalFormatting sqref="I3:I302">
    <cfRule type="cellIs" priority="4" operator="equal" aboveAverage="0" equalAverage="0" bottom="0" percent="0" rank="0" text="" dxfId="4">
      <formula>"Não compareceu"</formula>
    </cfRule>
  </conditionalFormatting>
  <dataValidations count="5">
    <dataValidation allowBlank="true" errorStyle="stop" operator="between" showDropDown="false" showErrorMessage="false" showInputMessage="false" sqref="B3:B302" type="list">
      <formula1>'14_Equipa'!$A$3:$A$5</formula1>
      <formula2>0</formula2>
    </dataValidation>
    <dataValidation allowBlank="true" errorStyle="stop" operator="between" showDropDown="false" showErrorMessage="false" showInputMessage="false" sqref="C3:C302" type="list">
      <formula1>'14_Equipa'!$B$3:$B$5</formula1>
      <formula2>0</formula2>
    </dataValidation>
    <dataValidation allowBlank="true" errorStyle="stop" operator="between" showDropDown="false" showErrorMessage="false" showInputMessage="false" sqref="H3:H302" type="list">
      <formula1>"ONE,OFFPEAK,Outro"</formula1>
      <formula2>0</formula2>
    </dataValidation>
    <dataValidation allowBlank="true" errorStyle="stop" operator="between" showDropDown="false" showErrorMessage="false" showInputMessage="false" sqref="I3:I302" type="list">
      <formula1>"Confirmada,Não confirmada,Realizada,Não compareceu"</formula1>
      <formula2>0</formula2>
    </dataValidation>
    <dataValidation allowBlank="true" errorStyle="stop" operator="between" showDropDown="false" showErrorMessage="false" showInputMessage="false" sqref="J3:J302" type="list">
      <formula1>"Adesão,Não adesão,Pendente"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37.5" hidden="false" customHeight="true" outlineLevel="0" collapsed="false">
      <c r="A1" s="21" t="s">
        <v>72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7.75" hidden="false" customHeight="true" outlineLevel="0" collapsed="false">
      <c r="A2" s="11" t="s">
        <v>18</v>
      </c>
      <c r="B2" s="11" t="s">
        <v>19</v>
      </c>
      <c r="C2" s="11" t="s">
        <v>73</v>
      </c>
      <c r="D2" s="11" t="s">
        <v>74</v>
      </c>
      <c r="E2" s="11" t="s">
        <v>75</v>
      </c>
      <c r="F2" s="11" t="s">
        <v>50</v>
      </c>
      <c r="G2" s="11" t="s">
        <v>51</v>
      </c>
      <c r="H2" s="11" t="s">
        <v>76</v>
      </c>
      <c r="I2" s="11" t="s">
        <v>53</v>
      </c>
      <c r="J2" s="11" t="s">
        <v>77</v>
      </c>
      <c r="K2" s="11" t="s">
        <v>54</v>
      </c>
      <c r="L2" s="11" t="s">
        <v>28</v>
      </c>
      <c r="M2" s="11" t="s">
        <v>55</v>
      </c>
      <c r="N2" s="11" t="s">
        <v>78</v>
      </c>
    </row>
    <row r="3" customFormat="false" ht="15" hidden="false" customHeight="false" outlineLevel="0" collapsed="false">
      <c r="A3" s="25" t="str">
        <f aca="false">'14_Equipa'!B3</f>
        <v>[Nome do comercial CU]</v>
      </c>
      <c r="B3" s="25" t="str">
        <f aca="false">'14_Equipa'!A3</f>
        <v>Cidade Universitária</v>
      </c>
      <c r="C3" s="13" t="n">
        <f aca="false">SUMIFS('01_Inputs_Diarios'!$D$3:$D$250,'01_Inputs_Diarios'!$C$3:$C$250,A3)</f>
        <v>0</v>
      </c>
      <c r="D3" s="13" t="n">
        <f aca="false">SUMIFS('01_Inputs_Diarios'!$E$3:$E$250,'01_Inputs_Diarios'!$C$3:$C$250,A3)</f>
        <v>0</v>
      </c>
      <c r="E3" s="14" t="n">
        <f aca="false">IFERROR(D3/C3,0)</f>
        <v>0</v>
      </c>
      <c r="F3" s="13" t="n">
        <f aca="false">SUMIFS('01_Inputs_Diarios'!$F$3:$F$250,'01_Inputs_Diarios'!$C$3:$C$250,A3)</f>
        <v>0</v>
      </c>
      <c r="G3" s="13" t="n">
        <f aca="false">SUMIFS('01_Inputs_Diarios'!$G$3:$G$250,'01_Inputs_Diarios'!$C$3:$C$250,A3)</f>
        <v>0</v>
      </c>
      <c r="H3" s="14" t="n">
        <f aca="false">IFERROR(G3/F3,0)</f>
        <v>0</v>
      </c>
      <c r="I3" s="13" t="n">
        <f aca="false">SUMIFS('01_Inputs_Diarios'!$I$3:$I$250,'01_Inputs_Diarios'!$C$3:$C$250,A3)</f>
        <v>0</v>
      </c>
      <c r="J3" s="15" t="n">
        <f aca="false">IFERROR(AVERAGEIFS('02_Leads_Closum'!$I$3:$I$502,'02_Leads_Closum'!$F$3:$F$502,A3,'02_Leads_Closum'!$I$3:$I$502,"&gt;0"),0)</f>
        <v>0</v>
      </c>
      <c r="K3" s="13" t="n">
        <f aca="false">SUMIFS('01_Inputs_Diarios'!$J$3:$J$250,'01_Inputs_Diarios'!$C$3:$C$250,A3)</f>
        <v>0</v>
      </c>
      <c r="L3" s="13" t="n">
        <f aca="false">SUMIFS('01_Inputs_Diarios'!$K$3:$K$250,'01_Inputs_Diarios'!$C$3:$C$250,A3)</f>
        <v>0</v>
      </c>
      <c r="M3" s="13" t="n">
        <f aca="false">SUMIFS('01_Inputs_Diarios'!$L$3:$L$250,'01_Inputs_Diarios'!$C$3:$C$250,A3)</f>
        <v>0</v>
      </c>
      <c r="N3" s="14" t="n">
        <f aca="false">IFERROR(M3/L3,0)</f>
        <v>0</v>
      </c>
    </row>
    <row r="4" customFormat="false" ht="15" hidden="false" customHeight="false" outlineLevel="0" collapsed="false">
      <c r="A4" s="25" t="str">
        <f aca="false">'14_Equipa'!B4</f>
        <v>[Nome do comercial SD]</v>
      </c>
      <c r="B4" s="25" t="str">
        <f aca="false">'14_Equipa'!A4</f>
        <v>Saldanha</v>
      </c>
      <c r="C4" s="13" t="n">
        <f aca="false">SUMIFS('01_Inputs_Diarios'!$D$3:$D$250,'01_Inputs_Diarios'!$C$3:$C$250,A4)</f>
        <v>0</v>
      </c>
      <c r="D4" s="13" t="n">
        <f aca="false">SUMIFS('01_Inputs_Diarios'!$E$3:$E$250,'01_Inputs_Diarios'!$C$3:$C$250,A4)</f>
        <v>0</v>
      </c>
      <c r="E4" s="14" t="n">
        <f aca="false">IFERROR(D4/C4,0)</f>
        <v>0</v>
      </c>
      <c r="F4" s="13" t="n">
        <f aca="false">SUMIFS('01_Inputs_Diarios'!$F$3:$F$250,'01_Inputs_Diarios'!$C$3:$C$250,A4)</f>
        <v>0</v>
      </c>
      <c r="G4" s="13" t="n">
        <f aca="false">SUMIFS('01_Inputs_Diarios'!$G$3:$G$250,'01_Inputs_Diarios'!$C$3:$C$250,A4)</f>
        <v>0</v>
      </c>
      <c r="H4" s="14" t="n">
        <f aca="false">IFERROR(G4/F4,0)</f>
        <v>0</v>
      </c>
      <c r="I4" s="13" t="n">
        <f aca="false">SUMIFS('01_Inputs_Diarios'!$I$3:$I$250,'01_Inputs_Diarios'!$C$3:$C$250,A4)</f>
        <v>0</v>
      </c>
      <c r="J4" s="15" t="n">
        <f aca="false">IFERROR(AVERAGEIFS('02_Leads_Closum'!$I$3:$I$502,'02_Leads_Closum'!$F$3:$F$502,A4,'02_Leads_Closum'!$I$3:$I$502,"&gt;0"),0)</f>
        <v>0</v>
      </c>
      <c r="K4" s="13" t="n">
        <f aca="false">SUMIFS('01_Inputs_Diarios'!$J$3:$J$250,'01_Inputs_Diarios'!$C$3:$C$250,A4)</f>
        <v>0</v>
      </c>
      <c r="L4" s="13" t="n">
        <f aca="false">SUMIFS('01_Inputs_Diarios'!$K$3:$K$250,'01_Inputs_Diarios'!$C$3:$C$250,A4)</f>
        <v>0</v>
      </c>
      <c r="M4" s="13" t="n">
        <f aca="false">SUMIFS('01_Inputs_Diarios'!$L$3:$L$250,'01_Inputs_Diarios'!$C$3:$C$250,A4)</f>
        <v>0</v>
      </c>
      <c r="N4" s="14" t="n">
        <f aca="false">IFERROR(M4/L4,0)</f>
        <v>0</v>
      </c>
    </row>
    <row r="5" customFormat="false" ht="15" hidden="false" customHeight="false" outlineLevel="0" collapsed="false">
      <c r="A5" s="25" t="str">
        <f aca="false">'14_Equipa'!B5</f>
        <v>[Nome do comercial UN]</v>
      </c>
      <c r="B5" s="25" t="str">
        <f aca="false">'14_Equipa'!A5</f>
        <v>Universidade Nova</v>
      </c>
      <c r="C5" s="13" t="n">
        <f aca="false">SUMIFS('01_Inputs_Diarios'!$D$3:$D$250,'01_Inputs_Diarios'!$C$3:$C$250,A5)</f>
        <v>0</v>
      </c>
      <c r="D5" s="13" t="n">
        <f aca="false">SUMIFS('01_Inputs_Diarios'!$E$3:$E$250,'01_Inputs_Diarios'!$C$3:$C$250,A5)</f>
        <v>0</v>
      </c>
      <c r="E5" s="14" t="n">
        <f aca="false">IFERROR(D5/C5,0)</f>
        <v>0</v>
      </c>
      <c r="F5" s="13" t="n">
        <f aca="false">SUMIFS('01_Inputs_Diarios'!$F$3:$F$250,'01_Inputs_Diarios'!$C$3:$C$250,A5)</f>
        <v>0</v>
      </c>
      <c r="G5" s="13" t="n">
        <f aca="false">SUMIFS('01_Inputs_Diarios'!$G$3:$G$250,'01_Inputs_Diarios'!$C$3:$C$250,A5)</f>
        <v>0</v>
      </c>
      <c r="H5" s="14" t="n">
        <f aca="false">IFERROR(G5/F5,0)</f>
        <v>0</v>
      </c>
      <c r="I5" s="13" t="n">
        <f aca="false">SUMIFS('01_Inputs_Diarios'!$I$3:$I$250,'01_Inputs_Diarios'!$C$3:$C$250,A5)</f>
        <v>0</v>
      </c>
      <c r="J5" s="15" t="n">
        <f aca="false">IFERROR(AVERAGEIFS('02_Leads_Closum'!$I$3:$I$502,'02_Leads_Closum'!$F$3:$F$502,A5,'02_Leads_Closum'!$I$3:$I$502,"&gt;0"),0)</f>
        <v>0</v>
      </c>
      <c r="K5" s="13" t="n">
        <f aca="false">SUMIFS('01_Inputs_Diarios'!$J$3:$J$250,'01_Inputs_Diarios'!$C$3:$C$250,A5)</f>
        <v>0</v>
      </c>
      <c r="L5" s="13" t="n">
        <f aca="false">SUMIFS('01_Inputs_Diarios'!$K$3:$K$250,'01_Inputs_Diarios'!$C$3:$C$250,A5)</f>
        <v>0</v>
      </c>
      <c r="M5" s="13" t="n">
        <f aca="false">SUMIFS('01_Inputs_Diarios'!$L$3:$L$250,'01_Inputs_Diarios'!$C$3:$C$250,A5)</f>
        <v>0</v>
      </c>
      <c r="N5" s="14" t="n">
        <f aca="false">IFERROR(M5/L5,0)</f>
        <v>0</v>
      </c>
    </row>
    <row r="6" customFormat="false" ht="15" hidden="false" customHeight="false" outlineLevel="0" collapsed="false">
      <c r="A6" s="26" t="s">
        <v>79</v>
      </c>
      <c r="B6" s="26" t="s">
        <v>80</v>
      </c>
      <c r="C6" s="27" t="n">
        <f aca="false">SUM(C3:C5)</f>
        <v>0</v>
      </c>
      <c r="D6" s="27" t="n">
        <f aca="false">SUM(D3:D5)</f>
        <v>0</v>
      </c>
      <c r="E6" s="28" t="n">
        <f aca="false">IFERROR(D6/C6,0)</f>
        <v>0</v>
      </c>
      <c r="F6" s="27" t="n">
        <f aca="false">SUM(F3:F5)</f>
        <v>0</v>
      </c>
      <c r="G6" s="27" t="n">
        <f aca="false">SUM(G3:G5)</f>
        <v>0</v>
      </c>
      <c r="H6" s="28" t="n">
        <f aca="false">IFERROR(G6/F6,0)</f>
        <v>0</v>
      </c>
      <c r="I6" s="27" t="n">
        <f aca="false">SUM(I3:I5)</f>
        <v>0</v>
      </c>
      <c r="J6" s="29" t="n">
        <f aca="false">IFERROR(AVERAGE(J3:J5),0)</f>
        <v>0</v>
      </c>
      <c r="K6" s="27" t="n">
        <f aca="false">SUM(K3:K5)</f>
        <v>0</v>
      </c>
      <c r="L6" s="27" t="n">
        <f aca="false">SUM(L3:L5)</f>
        <v>0</v>
      </c>
      <c r="M6" s="27" t="n">
        <f aca="false">SUM(M3:M5)</f>
        <v>0</v>
      </c>
      <c r="N6" s="28" t="n">
        <f aca="false">IFERROR(M6/L6,0)</f>
        <v>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7" min="4" style="0" width="12"/>
    <col collapsed="false" customWidth="true" hidden="false" outlineLevel="0" max="8" min="8" style="0" width="40"/>
  </cols>
  <sheetData>
    <row r="1" customFormat="false" ht="37.5" hidden="false" customHeight="true" outlineLevel="0" collapsed="false">
      <c r="A1" s="21" t="s">
        <v>81</v>
      </c>
      <c r="B1" s="21"/>
      <c r="C1" s="21"/>
      <c r="D1" s="21"/>
      <c r="E1" s="21"/>
      <c r="F1" s="21"/>
      <c r="G1" s="21"/>
      <c r="H1" s="21"/>
    </row>
    <row r="2" customFormat="false" ht="27.75" hidden="false" customHeight="true" outlineLevel="0" collapsed="false">
      <c r="A2" s="11" t="s">
        <v>82</v>
      </c>
      <c r="B2" s="11" t="s">
        <v>19</v>
      </c>
      <c r="C2" s="11" t="s">
        <v>37</v>
      </c>
      <c r="D2" s="11" t="s">
        <v>83</v>
      </c>
      <c r="E2" s="11" t="s">
        <v>39</v>
      </c>
      <c r="F2" s="11" t="s">
        <v>84</v>
      </c>
      <c r="G2" s="11" t="s">
        <v>85</v>
      </c>
      <c r="H2" s="11" t="s">
        <v>86</v>
      </c>
    </row>
    <row r="3" customFormat="false" ht="15" hidden="false" customHeight="false" outlineLevel="0" collapsed="false">
      <c r="A3" s="13"/>
      <c r="B3" s="13"/>
      <c r="C3" s="12"/>
      <c r="D3" s="13"/>
      <c r="E3" s="13"/>
      <c r="F3" s="13" t="n">
        <f aca="false">IFERROR(D3-E3,"")</f>
        <v>0</v>
      </c>
      <c r="G3" s="13"/>
      <c r="H3" s="12"/>
    </row>
    <row r="4" customFormat="false" ht="15" hidden="false" customHeight="false" outlineLevel="0" collapsed="false">
      <c r="A4" s="13"/>
      <c r="B4" s="13"/>
      <c r="C4" s="12"/>
      <c r="D4" s="13"/>
      <c r="E4" s="13"/>
      <c r="F4" s="13" t="n">
        <f aca="false">IFERROR(D4-E4,"")</f>
        <v>0</v>
      </c>
      <c r="G4" s="13"/>
      <c r="H4" s="12"/>
    </row>
    <row r="5" customFormat="false" ht="15" hidden="false" customHeight="false" outlineLevel="0" collapsed="false">
      <c r="A5" s="13"/>
      <c r="B5" s="13"/>
      <c r="C5" s="12"/>
      <c r="D5" s="13"/>
      <c r="E5" s="13"/>
      <c r="F5" s="13" t="n">
        <f aca="false">IFERROR(D5-E5,"")</f>
        <v>0</v>
      </c>
      <c r="G5" s="13"/>
      <c r="H5" s="12"/>
    </row>
    <row r="6" customFormat="false" ht="15" hidden="false" customHeight="false" outlineLevel="0" collapsed="false">
      <c r="A6" s="13"/>
      <c r="B6" s="13"/>
      <c r="C6" s="12"/>
      <c r="D6" s="13"/>
      <c r="E6" s="13"/>
      <c r="F6" s="13" t="n">
        <f aca="false">IFERROR(D6-E6,"")</f>
        <v>0</v>
      </c>
      <c r="G6" s="13"/>
      <c r="H6" s="12"/>
    </row>
    <row r="7" customFormat="false" ht="15" hidden="false" customHeight="false" outlineLevel="0" collapsed="false">
      <c r="A7" s="13"/>
      <c r="B7" s="13"/>
      <c r="C7" s="12"/>
      <c r="D7" s="13"/>
      <c r="E7" s="13"/>
      <c r="F7" s="13" t="n">
        <f aca="false">IFERROR(D7-E7,"")</f>
        <v>0</v>
      </c>
      <c r="G7" s="13"/>
      <c r="H7" s="12"/>
    </row>
    <row r="8" customFormat="false" ht="15" hidden="false" customHeight="false" outlineLevel="0" collapsed="false">
      <c r="A8" s="13"/>
      <c r="B8" s="13"/>
      <c r="C8" s="12"/>
      <c r="D8" s="13"/>
      <c r="E8" s="13"/>
      <c r="F8" s="13" t="n">
        <f aca="false">IFERROR(D8-E8,"")</f>
        <v>0</v>
      </c>
      <c r="G8" s="13"/>
      <c r="H8" s="12"/>
    </row>
    <row r="9" customFormat="false" ht="15" hidden="false" customHeight="false" outlineLevel="0" collapsed="false">
      <c r="A9" s="13"/>
      <c r="B9" s="13"/>
      <c r="C9" s="12"/>
      <c r="D9" s="13"/>
      <c r="E9" s="13"/>
      <c r="F9" s="13" t="n">
        <f aca="false">IFERROR(D9-E9,"")</f>
        <v>0</v>
      </c>
      <c r="G9" s="13"/>
      <c r="H9" s="12"/>
    </row>
    <row r="10" customFormat="false" ht="15" hidden="false" customHeight="false" outlineLevel="0" collapsed="false">
      <c r="A10" s="13"/>
      <c r="B10" s="13"/>
      <c r="C10" s="12"/>
      <c r="D10" s="13"/>
      <c r="E10" s="13"/>
      <c r="F10" s="13" t="n">
        <f aca="false">IFERROR(D10-E10,"")</f>
        <v>0</v>
      </c>
      <c r="G10" s="13"/>
      <c r="H10" s="12"/>
    </row>
    <row r="11" customFormat="false" ht="15" hidden="false" customHeight="false" outlineLevel="0" collapsed="false">
      <c r="A11" s="13"/>
      <c r="B11" s="13"/>
      <c r="C11" s="12"/>
      <c r="D11" s="13"/>
      <c r="E11" s="13"/>
      <c r="F11" s="13" t="n">
        <f aca="false">IFERROR(D11-E11,"")</f>
        <v>0</v>
      </c>
      <c r="G11" s="13"/>
      <c r="H11" s="12"/>
    </row>
    <row r="12" customFormat="false" ht="15" hidden="false" customHeight="false" outlineLevel="0" collapsed="false">
      <c r="A12" s="13"/>
      <c r="B12" s="13"/>
      <c r="C12" s="12"/>
      <c r="D12" s="13"/>
      <c r="E12" s="13"/>
      <c r="F12" s="13" t="n">
        <f aca="false">IFERROR(D12-E12,"")</f>
        <v>0</v>
      </c>
      <c r="G12" s="13"/>
      <c r="H12" s="12"/>
    </row>
    <row r="13" customFormat="false" ht="15" hidden="false" customHeight="false" outlineLevel="0" collapsed="false">
      <c r="A13" s="13"/>
      <c r="B13" s="13"/>
      <c r="C13" s="12"/>
      <c r="D13" s="13"/>
      <c r="E13" s="13"/>
      <c r="F13" s="13" t="n">
        <f aca="false">IFERROR(D13-E13,"")</f>
        <v>0</v>
      </c>
      <c r="G13" s="13"/>
      <c r="H13" s="12"/>
    </row>
    <row r="14" customFormat="false" ht="15" hidden="false" customHeight="false" outlineLevel="0" collapsed="false">
      <c r="A14" s="13"/>
      <c r="B14" s="13"/>
      <c r="C14" s="12"/>
      <c r="D14" s="13"/>
      <c r="E14" s="13"/>
      <c r="F14" s="13" t="n">
        <f aca="false">IFERROR(D14-E14,"")</f>
        <v>0</v>
      </c>
      <c r="G14" s="13"/>
      <c r="H14" s="12"/>
    </row>
    <row r="15" customFormat="false" ht="15" hidden="false" customHeight="false" outlineLevel="0" collapsed="false">
      <c r="A15" s="13"/>
      <c r="B15" s="13"/>
      <c r="C15" s="12"/>
      <c r="D15" s="13"/>
      <c r="E15" s="13"/>
      <c r="F15" s="13" t="n">
        <f aca="false">IFERROR(D15-E15,"")</f>
        <v>0</v>
      </c>
      <c r="G15" s="13"/>
      <c r="H15" s="12"/>
    </row>
    <row r="16" customFormat="false" ht="15" hidden="false" customHeight="false" outlineLevel="0" collapsed="false">
      <c r="A16" s="13"/>
      <c r="B16" s="13"/>
      <c r="C16" s="12"/>
      <c r="D16" s="13"/>
      <c r="E16" s="13"/>
      <c r="F16" s="13" t="n">
        <f aca="false">IFERROR(D16-E16,"")</f>
        <v>0</v>
      </c>
      <c r="G16" s="13"/>
      <c r="H16" s="12"/>
    </row>
    <row r="17" customFormat="false" ht="15" hidden="false" customHeight="false" outlineLevel="0" collapsed="false">
      <c r="A17" s="13"/>
      <c r="B17" s="13"/>
      <c r="C17" s="12"/>
      <c r="D17" s="13"/>
      <c r="E17" s="13"/>
      <c r="F17" s="13" t="n">
        <f aca="false">IFERROR(D17-E17,"")</f>
        <v>0</v>
      </c>
      <c r="G17" s="13"/>
      <c r="H17" s="12"/>
    </row>
    <row r="18" customFormat="false" ht="15" hidden="false" customHeight="false" outlineLevel="0" collapsed="false">
      <c r="A18" s="13"/>
      <c r="B18" s="13"/>
      <c r="C18" s="12"/>
      <c r="D18" s="13"/>
      <c r="E18" s="13"/>
      <c r="F18" s="13" t="n">
        <f aca="false">IFERROR(D18-E18,"")</f>
        <v>0</v>
      </c>
      <c r="G18" s="13"/>
      <c r="H18" s="12"/>
    </row>
    <row r="19" customFormat="false" ht="15" hidden="false" customHeight="false" outlineLevel="0" collapsed="false">
      <c r="A19" s="13"/>
      <c r="B19" s="13"/>
      <c r="C19" s="12"/>
      <c r="D19" s="13"/>
      <c r="E19" s="13"/>
      <c r="F19" s="13" t="n">
        <f aca="false">IFERROR(D19-E19,"")</f>
        <v>0</v>
      </c>
      <c r="G19" s="13"/>
      <c r="H19" s="12"/>
    </row>
    <row r="20" customFormat="false" ht="15" hidden="false" customHeight="false" outlineLevel="0" collapsed="false">
      <c r="A20" s="13"/>
      <c r="B20" s="13"/>
      <c r="C20" s="12"/>
      <c r="D20" s="13"/>
      <c r="E20" s="13"/>
      <c r="F20" s="13" t="n">
        <f aca="false">IFERROR(D20-E20,"")</f>
        <v>0</v>
      </c>
      <c r="G20" s="13"/>
      <c r="H20" s="12"/>
    </row>
    <row r="21" customFormat="false" ht="15" hidden="false" customHeight="false" outlineLevel="0" collapsed="false">
      <c r="A21" s="13"/>
      <c r="B21" s="13"/>
      <c r="C21" s="12"/>
      <c r="D21" s="13"/>
      <c r="E21" s="13"/>
      <c r="F21" s="13" t="n">
        <f aca="false">IFERROR(D21-E21,"")</f>
        <v>0</v>
      </c>
      <c r="G21" s="13"/>
      <c r="H21" s="12"/>
    </row>
    <row r="22" customFormat="false" ht="15" hidden="false" customHeight="false" outlineLevel="0" collapsed="false">
      <c r="A22" s="13"/>
      <c r="B22" s="13"/>
      <c r="C22" s="12"/>
      <c r="D22" s="13"/>
      <c r="E22" s="13"/>
      <c r="F22" s="13" t="n">
        <f aca="false">IFERROR(D22-E22,"")</f>
        <v>0</v>
      </c>
      <c r="G22" s="13"/>
      <c r="H22" s="12"/>
    </row>
    <row r="23" customFormat="false" ht="15" hidden="false" customHeight="false" outlineLevel="0" collapsed="false">
      <c r="A23" s="13"/>
      <c r="B23" s="13"/>
      <c r="C23" s="12"/>
      <c r="D23" s="13"/>
      <c r="E23" s="13"/>
      <c r="F23" s="13" t="n">
        <f aca="false">IFERROR(D23-E23,"")</f>
        <v>0</v>
      </c>
      <c r="G23" s="13"/>
      <c r="H23" s="12"/>
    </row>
    <row r="24" customFormat="false" ht="15" hidden="false" customHeight="false" outlineLevel="0" collapsed="false">
      <c r="A24" s="13"/>
      <c r="B24" s="13"/>
      <c r="C24" s="12"/>
      <c r="D24" s="13"/>
      <c r="E24" s="13"/>
      <c r="F24" s="13" t="n">
        <f aca="false">IFERROR(D24-E24,"")</f>
        <v>0</v>
      </c>
      <c r="G24" s="13"/>
      <c r="H24" s="12"/>
    </row>
    <row r="25" customFormat="false" ht="15" hidden="false" customHeight="false" outlineLevel="0" collapsed="false">
      <c r="A25" s="13"/>
      <c r="B25" s="13"/>
      <c r="C25" s="12"/>
      <c r="D25" s="13"/>
      <c r="E25" s="13"/>
      <c r="F25" s="13" t="n">
        <f aca="false">IFERROR(D25-E25,"")</f>
        <v>0</v>
      </c>
      <c r="G25" s="13"/>
      <c r="H25" s="12"/>
    </row>
    <row r="26" customFormat="false" ht="15" hidden="false" customHeight="false" outlineLevel="0" collapsed="false">
      <c r="A26" s="13"/>
      <c r="B26" s="13"/>
      <c r="C26" s="12"/>
      <c r="D26" s="13"/>
      <c r="E26" s="13"/>
      <c r="F26" s="13" t="n">
        <f aca="false">IFERROR(D26-E26,"")</f>
        <v>0</v>
      </c>
      <c r="G26" s="13"/>
      <c r="H26" s="12"/>
    </row>
    <row r="27" customFormat="false" ht="15" hidden="false" customHeight="false" outlineLevel="0" collapsed="false">
      <c r="A27" s="13"/>
      <c r="B27" s="13"/>
      <c r="C27" s="12"/>
      <c r="D27" s="13"/>
      <c r="E27" s="13"/>
      <c r="F27" s="13" t="n">
        <f aca="false">IFERROR(D27-E27,"")</f>
        <v>0</v>
      </c>
      <c r="G27" s="13"/>
      <c r="H27" s="12"/>
    </row>
    <row r="28" customFormat="false" ht="15" hidden="false" customHeight="false" outlineLevel="0" collapsed="false">
      <c r="A28" s="13"/>
      <c r="B28" s="13"/>
      <c r="C28" s="12"/>
      <c r="D28" s="13"/>
      <c r="E28" s="13"/>
      <c r="F28" s="13" t="n">
        <f aca="false">IFERROR(D28-E28,"")</f>
        <v>0</v>
      </c>
      <c r="G28" s="13"/>
      <c r="H28" s="12"/>
    </row>
    <row r="29" customFormat="false" ht="15" hidden="false" customHeight="false" outlineLevel="0" collapsed="false">
      <c r="A29" s="13"/>
      <c r="B29" s="13"/>
      <c r="C29" s="12"/>
      <c r="D29" s="13"/>
      <c r="E29" s="13"/>
      <c r="F29" s="13" t="n">
        <f aca="false">IFERROR(D29-E29,"")</f>
        <v>0</v>
      </c>
      <c r="G29" s="13"/>
      <c r="H29" s="12"/>
    </row>
    <row r="30" customFormat="false" ht="15" hidden="false" customHeight="false" outlineLevel="0" collapsed="false">
      <c r="A30" s="13"/>
      <c r="B30" s="13"/>
      <c r="C30" s="12"/>
      <c r="D30" s="13"/>
      <c r="E30" s="13"/>
      <c r="F30" s="13" t="n">
        <f aca="false">IFERROR(D30-E30,"")</f>
        <v>0</v>
      </c>
      <c r="G30" s="13"/>
      <c r="H30" s="12"/>
    </row>
    <row r="31" customFormat="false" ht="15" hidden="false" customHeight="false" outlineLevel="0" collapsed="false">
      <c r="A31" s="13"/>
      <c r="B31" s="13"/>
      <c r="C31" s="12"/>
      <c r="D31" s="13"/>
      <c r="E31" s="13"/>
      <c r="F31" s="13" t="n">
        <f aca="false">IFERROR(D31-E31,"")</f>
        <v>0</v>
      </c>
      <c r="G31" s="13"/>
      <c r="H31" s="12"/>
    </row>
    <row r="32" customFormat="false" ht="15" hidden="false" customHeight="false" outlineLevel="0" collapsed="false">
      <c r="A32" s="13"/>
      <c r="B32" s="13"/>
      <c r="C32" s="12"/>
      <c r="D32" s="13"/>
      <c r="E32" s="13"/>
      <c r="F32" s="13" t="n">
        <f aca="false">IFERROR(D32-E32,"")</f>
        <v>0</v>
      </c>
      <c r="G32" s="13"/>
      <c r="H32" s="12"/>
    </row>
    <row r="33" customFormat="false" ht="15" hidden="false" customHeight="false" outlineLevel="0" collapsed="false">
      <c r="A33" s="13"/>
      <c r="B33" s="13"/>
      <c r="C33" s="12"/>
      <c r="D33" s="13"/>
      <c r="E33" s="13"/>
      <c r="F33" s="13" t="n">
        <f aca="false">IFERROR(D33-E33,"")</f>
        <v>0</v>
      </c>
      <c r="G33" s="13"/>
      <c r="H33" s="12"/>
    </row>
    <row r="34" customFormat="false" ht="15" hidden="false" customHeight="false" outlineLevel="0" collapsed="false">
      <c r="A34" s="13"/>
      <c r="B34" s="13"/>
      <c r="C34" s="12"/>
      <c r="D34" s="13"/>
      <c r="E34" s="13"/>
      <c r="F34" s="13" t="n">
        <f aca="false">IFERROR(D34-E34,"")</f>
        <v>0</v>
      </c>
      <c r="G34" s="13"/>
      <c r="H34" s="12"/>
    </row>
    <row r="35" customFormat="false" ht="15" hidden="false" customHeight="false" outlineLevel="0" collapsed="false">
      <c r="A35" s="13"/>
      <c r="B35" s="13"/>
      <c r="C35" s="12"/>
      <c r="D35" s="13"/>
      <c r="E35" s="13"/>
      <c r="F35" s="13" t="n">
        <f aca="false">IFERROR(D35-E35,"")</f>
        <v>0</v>
      </c>
      <c r="G35" s="13"/>
      <c r="H35" s="12"/>
    </row>
    <row r="36" customFormat="false" ht="15" hidden="false" customHeight="false" outlineLevel="0" collapsed="false">
      <c r="A36" s="13"/>
      <c r="B36" s="13"/>
      <c r="C36" s="12"/>
      <c r="D36" s="13"/>
      <c r="E36" s="13"/>
      <c r="F36" s="13" t="n">
        <f aca="false">IFERROR(D36-E36,"")</f>
        <v>0</v>
      </c>
      <c r="G36" s="13"/>
      <c r="H36" s="12"/>
    </row>
    <row r="37" customFormat="false" ht="15" hidden="false" customHeight="false" outlineLevel="0" collapsed="false">
      <c r="A37" s="13"/>
      <c r="B37" s="13"/>
      <c r="C37" s="12"/>
      <c r="D37" s="13"/>
      <c r="E37" s="13"/>
      <c r="F37" s="13" t="n">
        <f aca="false">IFERROR(D37-E37,"")</f>
        <v>0</v>
      </c>
      <c r="G37" s="13"/>
      <c r="H37" s="12"/>
    </row>
    <row r="38" customFormat="false" ht="15" hidden="false" customHeight="false" outlineLevel="0" collapsed="false">
      <c r="A38" s="13"/>
      <c r="B38" s="13"/>
      <c r="C38" s="12"/>
      <c r="D38" s="13"/>
      <c r="E38" s="13"/>
      <c r="F38" s="13" t="n">
        <f aca="false">IFERROR(D38-E38,"")</f>
        <v>0</v>
      </c>
      <c r="G38" s="13"/>
      <c r="H38" s="12"/>
    </row>
    <row r="39" customFormat="false" ht="15" hidden="false" customHeight="false" outlineLevel="0" collapsed="false">
      <c r="A39" s="13"/>
      <c r="B39" s="13"/>
      <c r="C39" s="12"/>
      <c r="D39" s="13"/>
      <c r="E39" s="13"/>
      <c r="F39" s="13" t="n">
        <f aca="false">IFERROR(D39-E39,"")</f>
        <v>0</v>
      </c>
      <c r="G39" s="13"/>
      <c r="H39" s="12"/>
    </row>
    <row r="40" customFormat="false" ht="15" hidden="false" customHeight="false" outlineLevel="0" collapsed="false">
      <c r="A40" s="13"/>
      <c r="B40" s="13"/>
      <c r="C40" s="12"/>
      <c r="D40" s="13"/>
      <c r="E40" s="13"/>
      <c r="F40" s="13" t="n">
        <f aca="false">IFERROR(D40-E40,"")</f>
        <v>0</v>
      </c>
      <c r="G40" s="13"/>
      <c r="H40" s="12"/>
    </row>
    <row r="41" customFormat="false" ht="15" hidden="false" customHeight="false" outlineLevel="0" collapsed="false">
      <c r="A41" s="13"/>
      <c r="B41" s="13"/>
      <c r="C41" s="12"/>
      <c r="D41" s="13"/>
      <c r="E41" s="13"/>
      <c r="F41" s="13" t="n">
        <f aca="false">IFERROR(D41-E41,"")</f>
        <v>0</v>
      </c>
      <c r="G41" s="13"/>
      <c r="H41" s="12"/>
    </row>
    <row r="42" customFormat="false" ht="15" hidden="false" customHeight="false" outlineLevel="0" collapsed="false">
      <c r="A42" s="13"/>
      <c r="B42" s="13"/>
      <c r="C42" s="12"/>
      <c r="D42" s="13"/>
      <c r="E42" s="13"/>
      <c r="F42" s="13" t="n">
        <f aca="false">IFERROR(D42-E42,"")</f>
        <v>0</v>
      </c>
      <c r="G42" s="13"/>
      <c r="H42" s="12"/>
    </row>
    <row r="43" customFormat="false" ht="15" hidden="false" customHeight="false" outlineLevel="0" collapsed="false">
      <c r="A43" s="13"/>
      <c r="B43" s="13"/>
      <c r="C43" s="12"/>
      <c r="D43" s="13"/>
      <c r="E43" s="13"/>
      <c r="F43" s="13" t="n">
        <f aca="false">IFERROR(D43-E43,"")</f>
        <v>0</v>
      </c>
      <c r="G43" s="13"/>
      <c r="H43" s="12"/>
    </row>
    <row r="44" customFormat="false" ht="15" hidden="false" customHeight="false" outlineLevel="0" collapsed="false">
      <c r="A44" s="13"/>
      <c r="B44" s="13"/>
      <c r="C44" s="12"/>
      <c r="D44" s="13"/>
      <c r="E44" s="13"/>
      <c r="F44" s="13" t="n">
        <f aca="false">IFERROR(D44-E44,"")</f>
        <v>0</v>
      </c>
      <c r="G44" s="13"/>
      <c r="H44" s="12"/>
    </row>
    <row r="45" customFormat="false" ht="15" hidden="false" customHeight="false" outlineLevel="0" collapsed="false">
      <c r="A45" s="13"/>
      <c r="B45" s="13"/>
      <c r="C45" s="12"/>
      <c r="D45" s="13"/>
      <c r="E45" s="13"/>
      <c r="F45" s="13" t="n">
        <f aca="false">IFERROR(D45-E45,"")</f>
        <v>0</v>
      </c>
      <c r="G45" s="13"/>
      <c r="H45" s="12"/>
    </row>
    <row r="46" customFormat="false" ht="15" hidden="false" customHeight="false" outlineLevel="0" collapsed="false">
      <c r="A46" s="13"/>
      <c r="B46" s="13"/>
      <c r="C46" s="12"/>
      <c r="D46" s="13"/>
      <c r="E46" s="13"/>
      <c r="F46" s="13" t="n">
        <f aca="false">IFERROR(D46-E46,"")</f>
        <v>0</v>
      </c>
      <c r="G46" s="13"/>
      <c r="H46" s="12"/>
    </row>
    <row r="47" customFormat="false" ht="15" hidden="false" customHeight="false" outlineLevel="0" collapsed="false">
      <c r="A47" s="13"/>
      <c r="B47" s="13"/>
      <c r="C47" s="12"/>
      <c r="D47" s="13"/>
      <c r="E47" s="13"/>
      <c r="F47" s="13" t="n">
        <f aca="false">IFERROR(D47-E47,"")</f>
        <v>0</v>
      </c>
      <c r="G47" s="13"/>
      <c r="H47" s="12"/>
    </row>
    <row r="48" customFormat="false" ht="15" hidden="false" customHeight="false" outlineLevel="0" collapsed="false">
      <c r="A48" s="13"/>
      <c r="B48" s="13"/>
      <c r="C48" s="12"/>
      <c r="D48" s="13"/>
      <c r="E48" s="13"/>
      <c r="F48" s="13" t="n">
        <f aca="false">IFERROR(D48-E48,"")</f>
        <v>0</v>
      </c>
      <c r="G48" s="13"/>
      <c r="H48" s="12"/>
    </row>
    <row r="49" customFormat="false" ht="15" hidden="false" customHeight="false" outlineLevel="0" collapsed="false">
      <c r="A49" s="13"/>
      <c r="B49" s="13"/>
      <c r="C49" s="12"/>
      <c r="D49" s="13"/>
      <c r="E49" s="13"/>
      <c r="F49" s="13" t="n">
        <f aca="false">IFERROR(D49-E49,"")</f>
        <v>0</v>
      </c>
      <c r="G49" s="13"/>
      <c r="H49" s="12"/>
    </row>
    <row r="50" customFormat="false" ht="15" hidden="false" customHeight="false" outlineLevel="0" collapsed="false">
      <c r="A50" s="13"/>
      <c r="B50" s="13"/>
      <c r="C50" s="12"/>
      <c r="D50" s="13"/>
      <c r="E50" s="13"/>
      <c r="F50" s="13" t="n">
        <f aca="false">IFERROR(D50-E50,"")</f>
        <v>0</v>
      </c>
      <c r="G50" s="13"/>
      <c r="H50" s="12"/>
    </row>
    <row r="51" customFormat="false" ht="15" hidden="false" customHeight="false" outlineLevel="0" collapsed="false">
      <c r="A51" s="13"/>
      <c r="B51" s="13"/>
      <c r="C51" s="12"/>
      <c r="D51" s="13"/>
      <c r="E51" s="13"/>
      <c r="F51" s="13" t="n">
        <f aca="false">IFERROR(D51-E51,"")</f>
        <v>0</v>
      </c>
      <c r="G51" s="13"/>
      <c r="H51" s="12"/>
    </row>
    <row r="52" customFormat="false" ht="15" hidden="false" customHeight="false" outlineLevel="0" collapsed="false">
      <c r="A52" s="13"/>
      <c r="B52" s="13"/>
      <c r="C52" s="12"/>
      <c r="D52" s="13"/>
      <c r="E52" s="13"/>
      <c r="F52" s="13" t="n">
        <f aca="false">IFERROR(D52-E52,"")</f>
        <v>0</v>
      </c>
      <c r="G52" s="13"/>
      <c r="H52" s="12"/>
    </row>
    <row r="53" customFormat="false" ht="15" hidden="false" customHeight="false" outlineLevel="0" collapsed="false">
      <c r="A53" s="13"/>
      <c r="B53" s="13"/>
      <c r="C53" s="12"/>
      <c r="D53" s="13"/>
      <c r="E53" s="13"/>
      <c r="F53" s="13" t="n">
        <f aca="false">IFERROR(D53-E53,"")</f>
        <v>0</v>
      </c>
      <c r="G53" s="13"/>
      <c r="H53" s="12"/>
    </row>
    <row r="54" customFormat="false" ht="15" hidden="false" customHeight="false" outlineLevel="0" collapsed="false">
      <c r="A54" s="13"/>
      <c r="B54" s="13"/>
      <c r="C54" s="12"/>
      <c r="D54" s="13"/>
      <c r="E54" s="13"/>
      <c r="F54" s="13" t="n">
        <f aca="false">IFERROR(D54-E54,"")</f>
        <v>0</v>
      </c>
      <c r="G54" s="13"/>
      <c r="H54" s="12"/>
    </row>
    <row r="55" customFormat="false" ht="15" hidden="false" customHeight="false" outlineLevel="0" collapsed="false">
      <c r="A55" s="13"/>
      <c r="B55" s="13"/>
      <c r="C55" s="12"/>
      <c r="D55" s="13"/>
      <c r="E55" s="13"/>
      <c r="F55" s="13" t="n">
        <f aca="false">IFERROR(D55-E55,"")</f>
        <v>0</v>
      </c>
      <c r="G55" s="13"/>
      <c r="H55" s="12"/>
    </row>
    <row r="56" customFormat="false" ht="15" hidden="false" customHeight="false" outlineLevel="0" collapsed="false">
      <c r="A56" s="13"/>
      <c r="B56" s="13"/>
      <c r="C56" s="12"/>
      <c r="D56" s="13"/>
      <c r="E56" s="13"/>
      <c r="F56" s="13" t="n">
        <f aca="false">IFERROR(D56-E56,"")</f>
        <v>0</v>
      </c>
      <c r="G56" s="13"/>
      <c r="H56" s="12"/>
    </row>
    <row r="57" customFormat="false" ht="15" hidden="false" customHeight="false" outlineLevel="0" collapsed="false">
      <c r="A57" s="13"/>
      <c r="B57" s="13"/>
      <c r="C57" s="12"/>
      <c r="D57" s="13"/>
      <c r="E57" s="13"/>
      <c r="F57" s="13" t="n">
        <f aca="false">IFERROR(D57-E57,"")</f>
        <v>0</v>
      </c>
      <c r="G57" s="13"/>
      <c r="H57" s="12"/>
    </row>
    <row r="58" customFormat="false" ht="15" hidden="false" customHeight="false" outlineLevel="0" collapsed="false">
      <c r="A58" s="13"/>
      <c r="B58" s="13"/>
      <c r="C58" s="12"/>
      <c r="D58" s="13"/>
      <c r="E58" s="13"/>
      <c r="F58" s="13" t="n">
        <f aca="false">IFERROR(D58-E58,"")</f>
        <v>0</v>
      </c>
      <c r="G58" s="13"/>
      <c r="H58" s="12"/>
    </row>
    <row r="59" customFormat="false" ht="15" hidden="false" customHeight="false" outlineLevel="0" collapsed="false">
      <c r="A59" s="13"/>
      <c r="B59" s="13"/>
      <c r="C59" s="12"/>
      <c r="D59" s="13"/>
      <c r="E59" s="13"/>
      <c r="F59" s="13" t="n">
        <f aca="false">IFERROR(D59-E59,"")</f>
        <v>0</v>
      </c>
      <c r="G59" s="13"/>
      <c r="H59" s="12"/>
    </row>
    <row r="60" customFormat="false" ht="15" hidden="false" customHeight="false" outlineLevel="0" collapsed="false">
      <c r="A60" s="13"/>
      <c r="B60" s="13"/>
      <c r="C60" s="12"/>
      <c r="D60" s="13"/>
      <c r="E60" s="13"/>
      <c r="F60" s="13" t="n">
        <f aca="false">IFERROR(D60-E60,"")</f>
        <v>0</v>
      </c>
      <c r="G60" s="13"/>
      <c r="H60" s="12"/>
    </row>
    <row r="61" customFormat="false" ht="15" hidden="false" customHeight="false" outlineLevel="0" collapsed="false">
      <c r="A61" s="13"/>
      <c r="B61" s="13"/>
      <c r="C61" s="12"/>
      <c r="D61" s="13"/>
      <c r="E61" s="13"/>
      <c r="F61" s="13" t="n">
        <f aca="false">IFERROR(D61-E61,"")</f>
        <v>0</v>
      </c>
      <c r="G61" s="13"/>
      <c r="H61" s="12"/>
    </row>
    <row r="62" customFormat="false" ht="15" hidden="false" customHeight="false" outlineLevel="0" collapsed="false">
      <c r="A62" s="13"/>
      <c r="B62" s="13"/>
      <c r="C62" s="12"/>
      <c r="D62" s="13"/>
      <c r="E62" s="13"/>
      <c r="F62" s="13" t="n">
        <f aca="false">IFERROR(D62-E62,"")</f>
        <v>0</v>
      </c>
      <c r="G62" s="13"/>
      <c r="H62" s="12"/>
    </row>
    <row r="63" customFormat="false" ht="15" hidden="false" customHeight="false" outlineLevel="0" collapsed="false">
      <c r="A63" s="13"/>
      <c r="B63" s="13"/>
      <c r="C63" s="12"/>
      <c r="D63" s="13"/>
      <c r="E63" s="13"/>
      <c r="F63" s="13" t="n">
        <f aca="false">IFERROR(D63-E63,"")</f>
        <v>0</v>
      </c>
      <c r="G63" s="13"/>
      <c r="H63" s="12"/>
    </row>
    <row r="64" customFormat="false" ht="15" hidden="false" customHeight="false" outlineLevel="0" collapsed="false">
      <c r="A64" s="13"/>
      <c r="B64" s="13"/>
      <c r="C64" s="12"/>
      <c r="D64" s="13"/>
      <c r="E64" s="13"/>
      <c r="F64" s="13" t="n">
        <f aca="false">IFERROR(D64-E64,"")</f>
        <v>0</v>
      </c>
      <c r="G64" s="13"/>
      <c r="H64" s="12"/>
    </row>
    <row r="65" customFormat="false" ht="15" hidden="false" customHeight="false" outlineLevel="0" collapsed="false">
      <c r="A65" s="13"/>
      <c r="B65" s="13"/>
      <c r="C65" s="12"/>
      <c r="D65" s="13"/>
      <c r="E65" s="13"/>
      <c r="F65" s="13" t="n">
        <f aca="false">IFERROR(D65-E65,"")</f>
        <v>0</v>
      </c>
      <c r="G65" s="13"/>
      <c r="H65" s="12"/>
    </row>
    <row r="66" customFormat="false" ht="15" hidden="false" customHeight="false" outlineLevel="0" collapsed="false">
      <c r="A66" s="13"/>
      <c r="B66" s="13"/>
      <c r="C66" s="12"/>
      <c r="D66" s="13"/>
      <c r="E66" s="13"/>
      <c r="F66" s="13" t="n">
        <f aca="false">IFERROR(D66-E66,"")</f>
        <v>0</v>
      </c>
      <c r="G66" s="13"/>
      <c r="H66" s="12"/>
    </row>
    <row r="67" customFormat="false" ht="15" hidden="false" customHeight="false" outlineLevel="0" collapsed="false">
      <c r="A67" s="13"/>
      <c r="B67" s="13"/>
      <c r="C67" s="12"/>
      <c r="D67" s="13"/>
      <c r="E67" s="13"/>
      <c r="F67" s="13" t="n">
        <f aca="false">IFERROR(D67-E67,"")</f>
        <v>0</v>
      </c>
      <c r="G67" s="13"/>
      <c r="H67" s="12"/>
    </row>
    <row r="68" customFormat="false" ht="15" hidden="false" customHeight="false" outlineLevel="0" collapsed="false">
      <c r="A68" s="13"/>
      <c r="B68" s="13"/>
      <c r="C68" s="12"/>
      <c r="D68" s="13"/>
      <c r="E68" s="13"/>
      <c r="F68" s="13" t="n">
        <f aca="false">IFERROR(D68-E68,"")</f>
        <v>0</v>
      </c>
      <c r="G68" s="13"/>
      <c r="H68" s="12"/>
    </row>
    <row r="69" customFormat="false" ht="15" hidden="false" customHeight="false" outlineLevel="0" collapsed="false">
      <c r="A69" s="13"/>
      <c r="B69" s="13"/>
      <c r="C69" s="12"/>
      <c r="D69" s="13"/>
      <c r="E69" s="13"/>
      <c r="F69" s="13" t="n">
        <f aca="false">IFERROR(D69-E69,"")</f>
        <v>0</v>
      </c>
      <c r="G69" s="13"/>
      <c r="H69" s="12"/>
    </row>
    <row r="70" customFormat="false" ht="15" hidden="false" customHeight="false" outlineLevel="0" collapsed="false">
      <c r="A70" s="13"/>
      <c r="B70" s="13"/>
      <c r="C70" s="12"/>
      <c r="D70" s="13"/>
      <c r="E70" s="13"/>
      <c r="F70" s="13" t="n">
        <f aca="false">IFERROR(D70-E70,"")</f>
        <v>0</v>
      </c>
      <c r="G70" s="13"/>
      <c r="H70" s="12"/>
    </row>
    <row r="71" customFormat="false" ht="15" hidden="false" customHeight="false" outlineLevel="0" collapsed="false">
      <c r="A71" s="13"/>
      <c r="B71" s="13"/>
      <c r="C71" s="12"/>
      <c r="D71" s="13"/>
      <c r="E71" s="13"/>
      <c r="F71" s="13" t="n">
        <f aca="false">IFERROR(D71-E71,"")</f>
        <v>0</v>
      </c>
      <c r="G71" s="13"/>
      <c r="H71" s="12"/>
    </row>
    <row r="72" customFormat="false" ht="15" hidden="false" customHeight="false" outlineLevel="0" collapsed="false">
      <c r="A72" s="13"/>
      <c r="B72" s="13"/>
      <c r="C72" s="12"/>
      <c r="D72" s="13"/>
      <c r="E72" s="13"/>
      <c r="F72" s="13" t="n">
        <f aca="false">IFERROR(D72-E72,"")</f>
        <v>0</v>
      </c>
      <c r="G72" s="13"/>
      <c r="H72" s="12"/>
    </row>
    <row r="73" customFormat="false" ht="15" hidden="false" customHeight="false" outlineLevel="0" collapsed="false">
      <c r="A73" s="13"/>
      <c r="B73" s="13"/>
      <c r="C73" s="12"/>
      <c r="D73" s="13"/>
      <c r="E73" s="13"/>
      <c r="F73" s="13" t="n">
        <f aca="false">IFERROR(D73-E73,"")</f>
        <v>0</v>
      </c>
      <c r="G73" s="13"/>
      <c r="H73" s="12"/>
    </row>
    <row r="74" customFormat="false" ht="15" hidden="false" customHeight="false" outlineLevel="0" collapsed="false">
      <c r="A74" s="13"/>
      <c r="B74" s="13"/>
      <c r="C74" s="12"/>
      <c r="D74" s="13"/>
      <c r="E74" s="13"/>
      <c r="F74" s="13" t="n">
        <f aca="false">IFERROR(D74-E74,"")</f>
        <v>0</v>
      </c>
      <c r="G74" s="13"/>
      <c r="H74" s="12"/>
    </row>
    <row r="75" customFormat="false" ht="15" hidden="false" customHeight="false" outlineLevel="0" collapsed="false">
      <c r="A75" s="13"/>
      <c r="B75" s="13"/>
      <c r="C75" s="12"/>
      <c r="D75" s="13"/>
      <c r="E75" s="13"/>
      <c r="F75" s="13" t="n">
        <f aca="false">IFERROR(D75-E75,"")</f>
        <v>0</v>
      </c>
      <c r="G75" s="13"/>
      <c r="H75" s="12"/>
    </row>
    <row r="76" customFormat="false" ht="15" hidden="false" customHeight="false" outlineLevel="0" collapsed="false">
      <c r="A76" s="13"/>
      <c r="B76" s="13"/>
      <c r="C76" s="12"/>
      <c r="D76" s="13"/>
      <c r="E76" s="13"/>
      <c r="F76" s="13" t="n">
        <f aca="false">IFERROR(D76-E76,"")</f>
        <v>0</v>
      </c>
      <c r="G76" s="13"/>
      <c r="H76" s="12"/>
    </row>
    <row r="77" customFormat="false" ht="15" hidden="false" customHeight="false" outlineLevel="0" collapsed="false">
      <c r="A77" s="13"/>
      <c r="B77" s="13"/>
      <c r="C77" s="12"/>
      <c r="D77" s="13"/>
      <c r="E77" s="13"/>
      <c r="F77" s="13" t="n">
        <f aca="false">IFERROR(D77-E77,"")</f>
        <v>0</v>
      </c>
      <c r="G77" s="13"/>
      <c r="H77" s="12"/>
    </row>
    <row r="78" customFormat="false" ht="15" hidden="false" customHeight="false" outlineLevel="0" collapsed="false">
      <c r="A78" s="13"/>
      <c r="B78" s="13"/>
      <c r="C78" s="12"/>
      <c r="D78" s="13"/>
      <c r="E78" s="13"/>
      <c r="F78" s="13" t="n">
        <f aca="false">IFERROR(D78-E78,"")</f>
        <v>0</v>
      </c>
      <c r="G78" s="13"/>
      <c r="H78" s="12"/>
    </row>
    <row r="79" customFormat="false" ht="15" hidden="false" customHeight="false" outlineLevel="0" collapsed="false">
      <c r="A79" s="13"/>
      <c r="B79" s="13"/>
      <c r="C79" s="12"/>
      <c r="D79" s="13"/>
      <c r="E79" s="13"/>
      <c r="F79" s="13" t="n">
        <f aca="false">IFERROR(D79-E79,"")</f>
        <v>0</v>
      </c>
      <c r="G79" s="13"/>
      <c r="H79" s="12"/>
    </row>
    <row r="80" customFormat="false" ht="15" hidden="false" customHeight="false" outlineLevel="0" collapsed="false">
      <c r="A80" s="13"/>
      <c r="B80" s="13"/>
      <c r="C80" s="12"/>
      <c r="D80" s="13"/>
      <c r="E80" s="13"/>
      <c r="F80" s="13" t="n">
        <f aca="false">IFERROR(D80-E80,"")</f>
        <v>0</v>
      </c>
      <c r="G80" s="13"/>
      <c r="H80" s="12"/>
    </row>
    <row r="81" customFormat="false" ht="15" hidden="false" customHeight="false" outlineLevel="0" collapsed="false">
      <c r="A81" s="13"/>
      <c r="B81" s="13"/>
      <c r="C81" s="12"/>
      <c r="D81" s="13"/>
      <c r="E81" s="13"/>
      <c r="F81" s="13" t="n">
        <f aca="false">IFERROR(D81-E81,"")</f>
        <v>0</v>
      </c>
      <c r="G81" s="13"/>
      <c r="H81" s="12"/>
    </row>
    <row r="82" customFormat="false" ht="15" hidden="false" customHeight="false" outlineLevel="0" collapsed="false">
      <c r="A82" s="13"/>
      <c r="B82" s="13"/>
      <c r="C82" s="12"/>
      <c r="D82" s="13"/>
      <c r="E82" s="13"/>
      <c r="F82" s="13" t="n">
        <f aca="false">IFERROR(D82-E82,"")</f>
        <v>0</v>
      </c>
      <c r="G82" s="13"/>
      <c r="H82" s="12"/>
    </row>
    <row r="83" customFormat="false" ht="15" hidden="false" customHeight="false" outlineLevel="0" collapsed="false">
      <c r="A83" s="13"/>
      <c r="B83" s="13"/>
      <c r="C83" s="12"/>
      <c r="D83" s="13"/>
      <c r="E83" s="13"/>
      <c r="F83" s="13" t="n">
        <f aca="false">IFERROR(D83-E83,"")</f>
        <v>0</v>
      </c>
      <c r="G83" s="13"/>
      <c r="H83" s="12"/>
    </row>
    <row r="84" customFormat="false" ht="15" hidden="false" customHeight="false" outlineLevel="0" collapsed="false">
      <c r="A84" s="13"/>
      <c r="B84" s="13"/>
      <c r="C84" s="12"/>
      <c r="D84" s="13"/>
      <c r="E84" s="13"/>
      <c r="F84" s="13" t="n">
        <f aca="false">IFERROR(D84-E84,"")</f>
        <v>0</v>
      </c>
      <c r="G84" s="13"/>
      <c r="H84" s="12"/>
    </row>
    <row r="85" customFormat="false" ht="15" hidden="false" customHeight="false" outlineLevel="0" collapsed="false">
      <c r="A85" s="13"/>
      <c r="B85" s="13"/>
      <c r="C85" s="12"/>
      <c r="D85" s="13"/>
      <c r="E85" s="13"/>
      <c r="F85" s="13" t="n">
        <f aca="false">IFERROR(D85-E85,"")</f>
        <v>0</v>
      </c>
      <c r="G85" s="13"/>
      <c r="H85" s="12"/>
    </row>
    <row r="86" customFormat="false" ht="15" hidden="false" customHeight="false" outlineLevel="0" collapsed="false">
      <c r="A86" s="13"/>
      <c r="B86" s="13"/>
      <c r="C86" s="12"/>
      <c r="D86" s="13"/>
      <c r="E86" s="13"/>
      <c r="F86" s="13" t="n">
        <f aca="false">IFERROR(D86-E86,"")</f>
        <v>0</v>
      </c>
      <c r="G86" s="13"/>
      <c r="H86" s="12"/>
    </row>
    <row r="87" customFormat="false" ht="15" hidden="false" customHeight="false" outlineLevel="0" collapsed="false">
      <c r="A87" s="13"/>
      <c r="B87" s="13"/>
      <c r="C87" s="12"/>
      <c r="D87" s="13"/>
      <c r="E87" s="13"/>
      <c r="F87" s="13" t="n">
        <f aca="false">IFERROR(D87-E87,"")</f>
        <v>0</v>
      </c>
      <c r="G87" s="13"/>
      <c r="H87" s="12"/>
    </row>
    <row r="88" customFormat="false" ht="15" hidden="false" customHeight="false" outlineLevel="0" collapsed="false">
      <c r="A88" s="13"/>
      <c r="B88" s="13"/>
      <c r="C88" s="12"/>
      <c r="D88" s="13"/>
      <c r="E88" s="13"/>
      <c r="F88" s="13" t="n">
        <f aca="false">IFERROR(D88-E88,"")</f>
        <v>0</v>
      </c>
      <c r="G88" s="13"/>
      <c r="H88" s="12"/>
    </row>
    <row r="89" customFormat="false" ht="15" hidden="false" customHeight="false" outlineLevel="0" collapsed="false">
      <c r="A89" s="13"/>
      <c r="B89" s="13"/>
      <c r="C89" s="12"/>
      <c r="D89" s="13"/>
      <c r="E89" s="13"/>
      <c r="F89" s="13" t="n">
        <f aca="false">IFERROR(D89-E89,"")</f>
        <v>0</v>
      </c>
      <c r="G89" s="13"/>
      <c r="H89" s="12"/>
    </row>
    <row r="90" customFormat="false" ht="15" hidden="false" customHeight="false" outlineLevel="0" collapsed="false">
      <c r="A90" s="13"/>
      <c r="B90" s="13"/>
      <c r="C90" s="12"/>
      <c r="D90" s="13"/>
      <c r="E90" s="13"/>
      <c r="F90" s="13" t="n">
        <f aca="false">IFERROR(D90-E90,"")</f>
        <v>0</v>
      </c>
      <c r="G90" s="13"/>
      <c r="H90" s="12"/>
    </row>
    <row r="91" customFormat="false" ht="15" hidden="false" customHeight="false" outlineLevel="0" collapsed="false">
      <c r="A91" s="13"/>
      <c r="B91" s="13"/>
      <c r="C91" s="12"/>
      <c r="D91" s="13"/>
      <c r="E91" s="13"/>
      <c r="F91" s="13" t="n">
        <f aca="false">IFERROR(D91-E91,"")</f>
        <v>0</v>
      </c>
      <c r="G91" s="13"/>
      <c r="H91" s="12"/>
    </row>
    <row r="92" customFormat="false" ht="15" hidden="false" customHeight="false" outlineLevel="0" collapsed="false">
      <c r="A92" s="13"/>
      <c r="B92" s="13"/>
      <c r="C92" s="12"/>
      <c r="D92" s="13"/>
      <c r="E92" s="13"/>
      <c r="F92" s="13" t="n">
        <f aca="false">IFERROR(D92-E92,"")</f>
        <v>0</v>
      </c>
      <c r="G92" s="13"/>
      <c r="H92" s="12"/>
    </row>
    <row r="93" customFormat="false" ht="15" hidden="false" customHeight="false" outlineLevel="0" collapsed="false">
      <c r="A93" s="13"/>
      <c r="B93" s="13"/>
      <c r="C93" s="12"/>
      <c r="D93" s="13"/>
      <c r="E93" s="13"/>
      <c r="F93" s="13" t="n">
        <f aca="false">IFERROR(D93-E93,"")</f>
        <v>0</v>
      </c>
      <c r="G93" s="13"/>
      <c r="H93" s="12"/>
    </row>
    <row r="94" customFormat="false" ht="15" hidden="false" customHeight="false" outlineLevel="0" collapsed="false">
      <c r="A94" s="13"/>
      <c r="B94" s="13"/>
      <c r="C94" s="12"/>
      <c r="D94" s="13"/>
      <c r="E94" s="13"/>
      <c r="F94" s="13" t="n">
        <f aca="false">IFERROR(D94-E94,"")</f>
        <v>0</v>
      </c>
      <c r="G94" s="13"/>
      <c r="H94" s="12"/>
    </row>
    <row r="95" customFormat="false" ht="15" hidden="false" customHeight="false" outlineLevel="0" collapsed="false">
      <c r="A95" s="13"/>
      <c r="B95" s="13"/>
      <c r="C95" s="12"/>
      <c r="D95" s="13"/>
      <c r="E95" s="13"/>
      <c r="F95" s="13" t="n">
        <f aca="false">IFERROR(D95-E95,"")</f>
        <v>0</v>
      </c>
      <c r="G95" s="13"/>
      <c r="H95" s="12"/>
    </row>
    <row r="96" customFormat="false" ht="15" hidden="false" customHeight="false" outlineLevel="0" collapsed="false">
      <c r="A96" s="13"/>
      <c r="B96" s="13"/>
      <c r="C96" s="12"/>
      <c r="D96" s="13"/>
      <c r="E96" s="13"/>
      <c r="F96" s="13" t="n">
        <f aca="false">IFERROR(D96-E96,"")</f>
        <v>0</v>
      </c>
      <c r="G96" s="13"/>
      <c r="H96" s="12"/>
    </row>
    <row r="97" customFormat="false" ht="15" hidden="false" customHeight="false" outlineLevel="0" collapsed="false">
      <c r="A97" s="13"/>
      <c r="B97" s="13"/>
      <c r="C97" s="12"/>
      <c r="D97" s="13"/>
      <c r="E97" s="13"/>
      <c r="F97" s="13" t="n">
        <f aca="false">IFERROR(D97-E97,"")</f>
        <v>0</v>
      </c>
      <c r="G97" s="13"/>
      <c r="H97" s="12"/>
    </row>
    <row r="98" customFormat="false" ht="15" hidden="false" customHeight="false" outlineLevel="0" collapsed="false">
      <c r="A98" s="13"/>
      <c r="B98" s="13"/>
      <c r="C98" s="12"/>
      <c r="D98" s="13"/>
      <c r="E98" s="13"/>
      <c r="F98" s="13" t="n">
        <f aca="false">IFERROR(D98-E98,"")</f>
        <v>0</v>
      </c>
      <c r="G98" s="13"/>
      <c r="H98" s="12"/>
    </row>
  </sheetData>
  <mergeCells count="1">
    <mergeCell ref="A1:H1"/>
  </mergeCells>
  <dataValidations count="3">
    <dataValidation allowBlank="true" errorStyle="stop" operator="between" showDropDown="false" showErrorMessage="false" showInputMessage="false" sqref="B3:B98" type="list">
      <formula1>'14_Equipa'!$A$3:$A$5</formula1>
      <formula2>0</formula2>
    </dataValidation>
    <dataValidation allowBlank="true" errorStyle="stop" operator="between" showDropDown="false" showErrorMessage="false" showInputMessage="false" sqref="C3:C98" type="list">
      <formula1>"Tempo médio resp. (min),% Chamadas atendidas,% Walk-in sale,% Contactos angariados,% Leads recebidas,% Contactos / marcações,% Marcações / visitas,% Visitas / conversão"</formula1>
      <formula2>0</formula2>
    </dataValidation>
    <dataValidation allowBlank="true" errorStyle="stop" operator="between" showDropDown="false" showErrorMessage="false" showInputMessage="false" sqref="G3:G98" type="list">
      <formula1>"Subir,Estável,Descer"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6" min="5" style="0" width="32"/>
    <col collapsed="false" customWidth="true" hidden="false" outlineLevel="0" max="7" min="7" style="0" width="24"/>
    <col collapsed="false" customWidth="true" hidden="false" outlineLevel="0" max="8" min="8" style="0" width="30"/>
  </cols>
  <sheetData>
    <row r="1" customFormat="false" ht="37.5" hidden="false" customHeight="true" outlineLevel="0" collapsed="false">
      <c r="A1" s="21" t="s">
        <v>87</v>
      </c>
      <c r="B1" s="21"/>
      <c r="C1" s="21"/>
      <c r="D1" s="21"/>
      <c r="E1" s="21"/>
      <c r="F1" s="21"/>
      <c r="G1" s="21"/>
      <c r="H1" s="21"/>
    </row>
    <row r="2" customFormat="false" ht="27.75" hidden="false" customHeight="true" outlineLevel="0" collapsed="false">
      <c r="A2" s="11" t="s">
        <v>32</v>
      </c>
      <c r="B2" s="11" t="s">
        <v>19</v>
      </c>
      <c r="C2" s="11" t="s">
        <v>88</v>
      </c>
      <c r="D2" s="11" t="s">
        <v>89</v>
      </c>
      <c r="E2" s="11" t="s">
        <v>90</v>
      </c>
      <c r="F2" s="11" t="s">
        <v>91</v>
      </c>
      <c r="G2" s="11" t="s">
        <v>92</v>
      </c>
      <c r="H2" s="11" t="s">
        <v>93</v>
      </c>
    </row>
    <row r="3" customFormat="false" ht="15" hidden="false" customHeight="false" outlineLevel="0" collapsed="false">
      <c r="A3" s="22"/>
      <c r="B3" s="12"/>
      <c r="C3" s="12"/>
      <c r="D3" s="12"/>
      <c r="E3" s="12"/>
      <c r="F3" s="12"/>
      <c r="G3" s="12"/>
      <c r="H3" s="12"/>
    </row>
    <row r="4" customFormat="false" ht="15" hidden="false" customHeight="false" outlineLevel="0" collapsed="false">
      <c r="A4" s="22"/>
      <c r="B4" s="12"/>
      <c r="C4" s="12"/>
      <c r="D4" s="12"/>
      <c r="E4" s="12"/>
      <c r="F4" s="12"/>
      <c r="G4" s="12"/>
      <c r="H4" s="12"/>
    </row>
    <row r="5" customFormat="false" ht="15" hidden="false" customHeight="false" outlineLevel="0" collapsed="false">
      <c r="A5" s="22"/>
      <c r="B5" s="12"/>
      <c r="C5" s="12"/>
      <c r="D5" s="12"/>
      <c r="E5" s="12"/>
      <c r="F5" s="12"/>
      <c r="G5" s="12"/>
      <c r="H5" s="12"/>
    </row>
    <row r="6" customFormat="false" ht="15" hidden="false" customHeight="false" outlineLevel="0" collapsed="false">
      <c r="A6" s="22"/>
      <c r="B6" s="12"/>
      <c r="C6" s="12"/>
      <c r="D6" s="12"/>
      <c r="E6" s="12"/>
      <c r="F6" s="12"/>
      <c r="G6" s="12"/>
      <c r="H6" s="12"/>
    </row>
    <row r="7" customFormat="false" ht="15" hidden="false" customHeight="false" outlineLevel="0" collapsed="false">
      <c r="A7" s="22"/>
      <c r="B7" s="12"/>
      <c r="C7" s="12"/>
      <c r="D7" s="12"/>
      <c r="E7" s="12"/>
      <c r="F7" s="12"/>
      <c r="G7" s="12"/>
      <c r="H7" s="12"/>
    </row>
    <row r="8" customFormat="false" ht="15" hidden="false" customHeight="false" outlineLevel="0" collapsed="false">
      <c r="A8" s="22"/>
      <c r="B8" s="12"/>
      <c r="C8" s="12"/>
      <c r="D8" s="12"/>
      <c r="E8" s="12"/>
      <c r="F8" s="12"/>
      <c r="G8" s="12"/>
      <c r="H8" s="12"/>
    </row>
    <row r="9" customFormat="false" ht="15" hidden="false" customHeight="false" outlineLevel="0" collapsed="false">
      <c r="A9" s="22"/>
      <c r="B9" s="12"/>
      <c r="C9" s="12"/>
      <c r="D9" s="12"/>
      <c r="E9" s="12"/>
      <c r="F9" s="12"/>
      <c r="G9" s="12"/>
      <c r="H9" s="12"/>
    </row>
    <row r="10" customFormat="false" ht="15" hidden="false" customHeight="false" outlineLevel="0" collapsed="false">
      <c r="A10" s="22"/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22"/>
      <c r="B11" s="12"/>
      <c r="C11" s="12"/>
      <c r="D11" s="12"/>
      <c r="E11" s="12"/>
      <c r="F11" s="12"/>
      <c r="G11" s="12"/>
      <c r="H11" s="12"/>
    </row>
    <row r="12" customFormat="false" ht="15" hidden="false" customHeight="false" outlineLevel="0" collapsed="false">
      <c r="A12" s="22"/>
      <c r="B12" s="12"/>
      <c r="C12" s="12"/>
      <c r="D12" s="12"/>
      <c r="E12" s="12"/>
      <c r="F12" s="12"/>
      <c r="G12" s="12"/>
      <c r="H12" s="12"/>
    </row>
    <row r="13" customFormat="false" ht="15" hidden="false" customHeight="false" outlineLevel="0" collapsed="false">
      <c r="A13" s="22"/>
      <c r="B13" s="12"/>
      <c r="C13" s="12"/>
      <c r="D13" s="12"/>
      <c r="E13" s="12"/>
      <c r="F13" s="12"/>
      <c r="G13" s="12"/>
      <c r="H13" s="12"/>
    </row>
    <row r="14" customFormat="false" ht="15" hidden="false" customHeight="false" outlineLevel="0" collapsed="false">
      <c r="A14" s="22"/>
      <c r="B14" s="12"/>
      <c r="C14" s="12"/>
      <c r="D14" s="12"/>
      <c r="E14" s="12"/>
      <c r="F14" s="12"/>
      <c r="G14" s="12"/>
      <c r="H14" s="12"/>
    </row>
    <row r="15" customFormat="false" ht="15" hidden="false" customHeight="false" outlineLevel="0" collapsed="false">
      <c r="A15" s="22"/>
      <c r="B15" s="12"/>
      <c r="C15" s="12"/>
      <c r="D15" s="12"/>
      <c r="E15" s="12"/>
      <c r="F15" s="12"/>
      <c r="G15" s="12"/>
      <c r="H15" s="12"/>
    </row>
    <row r="16" customFormat="false" ht="15" hidden="false" customHeight="false" outlineLevel="0" collapsed="false">
      <c r="A16" s="22"/>
      <c r="B16" s="12"/>
      <c r="C16" s="12"/>
      <c r="D16" s="12"/>
      <c r="E16" s="12"/>
      <c r="F16" s="12"/>
      <c r="G16" s="12"/>
      <c r="H16" s="12"/>
    </row>
    <row r="17" customFormat="false" ht="15" hidden="false" customHeight="false" outlineLevel="0" collapsed="false">
      <c r="A17" s="22"/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22"/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22"/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22"/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22"/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22"/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22"/>
      <c r="B23" s="12"/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A24" s="22"/>
      <c r="B24" s="12"/>
      <c r="C24" s="12"/>
      <c r="D24" s="12"/>
      <c r="E24" s="12"/>
      <c r="F24" s="12"/>
      <c r="G24" s="12"/>
      <c r="H24" s="12"/>
    </row>
    <row r="25" customFormat="false" ht="15" hidden="false" customHeight="false" outlineLevel="0" collapsed="false">
      <c r="A25" s="22"/>
      <c r="B25" s="12"/>
      <c r="C25" s="12"/>
      <c r="D25" s="12"/>
      <c r="E25" s="12"/>
      <c r="F25" s="12"/>
      <c r="G25" s="12"/>
      <c r="H25" s="12"/>
    </row>
    <row r="26" customFormat="false" ht="15" hidden="false" customHeight="false" outlineLevel="0" collapsed="false">
      <c r="A26" s="22"/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22"/>
      <c r="B27" s="12"/>
      <c r="C27" s="12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22"/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22"/>
      <c r="B29" s="12"/>
      <c r="C29" s="12"/>
      <c r="D29" s="12"/>
      <c r="E29" s="12"/>
      <c r="F29" s="12"/>
      <c r="G29" s="12"/>
      <c r="H29" s="12"/>
    </row>
    <row r="30" customFormat="false" ht="15" hidden="false" customHeight="false" outlineLevel="0" collapsed="false">
      <c r="A30" s="22"/>
      <c r="B30" s="12"/>
      <c r="C30" s="12"/>
      <c r="D30" s="12"/>
      <c r="E30" s="12"/>
      <c r="F30" s="12"/>
      <c r="G30" s="12"/>
      <c r="H30" s="12"/>
    </row>
    <row r="31" customFormat="false" ht="15" hidden="false" customHeight="false" outlineLevel="0" collapsed="false">
      <c r="A31" s="22"/>
      <c r="B31" s="12"/>
      <c r="C31" s="12"/>
      <c r="D31" s="12"/>
      <c r="E31" s="12"/>
      <c r="F31" s="12"/>
      <c r="G31" s="12"/>
      <c r="H31" s="12"/>
    </row>
    <row r="32" customFormat="false" ht="15" hidden="false" customHeight="false" outlineLevel="0" collapsed="false">
      <c r="A32" s="22"/>
      <c r="B32" s="12"/>
      <c r="C32" s="12"/>
      <c r="D32" s="12"/>
      <c r="E32" s="12"/>
      <c r="F32" s="12"/>
      <c r="G32" s="12"/>
      <c r="H32" s="12"/>
    </row>
    <row r="33" customFormat="false" ht="15" hidden="false" customHeight="false" outlineLevel="0" collapsed="false">
      <c r="A33" s="22"/>
      <c r="B33" s="12"/>
      <c r="C33" s="12"/>
      <c r="D33" s="12"/>
      <c r="E33" s="12"/>
      <c r="F33" s="12"/>
      <c r="G33" s="12"/>
      <c r="H33" s="12"/>
    </row>
    <row r="34" customFormat="false" ht="15" hidden="false" customHeight="false" outlineLevel="0" collapsed="false">
      <c r="A34" s="22"/>
      <c r="B34" s="12"/>
      <c r="C34" s="12"/>
      <c r="D34" s="12"/>
      <c r="E34" s="12"/>
      <c r="F34" s="12"/>
      <c r="G34" s="12"/>
      <c r="H34" s="12"/>
    </row>
    <row r="35" customFormat="false" ht="15" hidden="false" customHeight="false" outlineLevel="0" collapsed="false">
      <c r="A35" s="22"/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A36" s="22"/>
      <c r="B36" s="12"/>
      <c r="C36" s="12"/>
      <c r="D36" s="12"/>
      <c r="E36" s="12"/>
      <c r="F36" s="12"/>
      <c r="G36" s="12"/>
      <c r="H36" s="12"/>
    </row>
    <row r="37" customFormat="false" ht="15" hidden="false" customHeight="false" outlineLevel="0" collapsed="false">
      <c r="A37" s="22"/>
      <c r="B37" s="12"/>
      <c r="C37" s="12"/>
      <c r="D37" s="12"/>
      <c r="E37" s="12"/>
      <c r="F37" s="12"/>
      <c r="G37" s="12"/>
      <c r="H37" s="12"/>
    </row>
    <row r="38" customFormat="false" ht="15" hidden="false" customHeight="false" outlineLevel="0" collapsed="false">
      <c r="A38" s="22"/>
      <c r="B38" s="12"/>
      <c r="C38" s="12"/>
      <c r="D38" s="12"/>
      <c r="E38" s="12"/>
      <c r="F38" s="12"/>
      <c r="G38" s="12"/>
      <c r="H38" s="12"/>
    </row>
    <row r="39" customFormat="false" ht="15" hidden="false" customHeight="false" outlineLevel="0" collapsed="false">
      <c r="A39" s="22"/>
      <c r="B39" s="12"/>
      <c r="C39" s="12"/>
      <c r="D39" s="12"/>
      <c r="E39" s="12"/>
      <c r="F39" s="12"/>
      <c r="G39" s="12"/>
      <c r="H39" s="12"/>
    </row>
    <row r="40" customFormat="false" ht="15" hidden="false" customHeight="false" outlineLevel="0" collapsed="false">
      <c r="A40" s="22"/>
      <c r="B40" s="12"/>
      <c r="C40" s="12"/>
      <c r="D40" s="12"/>
      <c r="E40" s="12"/>
      <c r="F40" s="12"/>
      <c r="G40" s="12"/>
      <c r="H40" s="12"/>
    </row>
    <row r="41" customFormat="false" ht="15" hidden="false" customHeight="false" outlineLevel="0" collapsed="false">
      <c r="A41" s="22"/>
      <c r="B41" s="12"/>
      <c r="C41" s="12"/>
      <c r="D41" s="12"/>
      <c r="E41" s="12"/>
      <c r="F41" s="12"/>
      <c r="G41" s="12"/>
      <c r="H41" s="12"/>
    </row>
    <row r="42" customFormat="false" ht="15" hidden="false" customHeight="false" outlineLevel="0" collapsed="false">
      <c r="A42" s="22"/>
      <c r="B42" s="12"/>
      <c r="C42" s="12"/>
      <c r="D42" s="12"/>
      <c r="E42" s="12"/>
      <c r="F42" s="12"/>
      <c r="G42" s="12"/>
      <c r="H42" s="12"/>
    </row>
    <row r="43" customFormat="false" ht="15" hidden="false" customHeight="false" outlineLevel="0" collapsed="false">
      <c r="A43" s="22"/>
      <c r="B43" s="12"/>
      <c r="C43" s="12"/>
      <c r="D43" s="12"/>
      <c r="E43" s="12"/>
      <c r="F43" s="12"/>
      <c r="G43" s="12"/>
      <c r="H43" s="12"/>
    </row>
    <row r="44" customFormat="false" ht="15" hidden="false" customHeight="false" outlineLevel="0" collapsed="false">
      <c r="A44" s="22"/>
      <c r="B44" s="12"/>
      <c r="C44" s="12"/>
      <c r="D44" s="12"/>
      <c r="E44" s="12"/>
      <c r="F44" s="12"/>
      <c r="G44" s="12"/>
      <c r="H44" s="12"/>
    </row>
    <row r="45" customFormat="false" ht="15" hidden="false" customHeight="false" outlineLevel="0" collapsed="false">
      <c r="A45" s="22"/>
      <c r="B45" s="12"/>
      <c r="C45" s="12"/>
      <c r="D45" s="12"/>
      <c r="E45" s="12"/>
      <c r="F45" s="12"/>
      <c r="G45" s="12"/>
      <c r="H45" s="12"/>
    </row>
    <row r="46" customFormat="false" ht="15" hidden="false" customHeight="false" outlineLevel="0" collapsed="false">
      <c r="A46" s="22"/>
      <c r="B46" s="12"/>
      <c r="C46" s="12"/>
      <c r="D46" s="12"/>
      <c r="E46" s="12"/>
      <c r="F46" s="12"/>
      <c r="G46" s="12"/>
      <c r="H46" s="12"/>
    </row>
    <row r="47" customFormat="false" ht="15" hidden="false" customHeight="false" outlineLevel="0" collapsed="false">
      <c r="A47" s="22"/>
      <c r="B47" s="12"/>
      <c r="C47" s="12"/>
      <c r="D47" s="12"/>
      <c r="E47" s="12"/>
      <c r="F47" s="12"/>
      <c r="G47" s="12"/>
      <c r="H47" s="12"/>
    </row>
    <row r="48" customFormat="false" ht="15" hidden="false" customHeight="false" outlineLevel="0" collapsed="false">
      <c r="A48" s="22"/>
      <c r="B48" s="12"/>
      <c r="C48" s="12"/>
      <c r="D48" s="12"/>
      <c r="E48" s="12"/>
      <c r="F48" s="12"/>
      <c r="G48" s="12"/>
      <c r="H48" s="12"/>
    </row>
    <row r="49" customFormat="false" ht="15" hidden="false" customHeight="false" outlineLevel="0" collapsed="false">
      <c r="A49" s="22"/>
      <c r="B49" s="12"/>
      <c r="C49" s="12"/>
      <c r="D49" s="12"/>
      <c r="E49" s="12"/>
      <c r="F49" s="12"/>
      <c r="G49" s="12"/>
      <c r="H49" s="12"/>
    </row>
    <row r="50" customFormat="false" ht="15" hidden="false" customHeight="false" outlineLevel="0" collapsed="false">
      <c r="A50" s="22"/>
      <c r="B50" s="12"/>
      <c r="C50" s="12"/>
      <c r="D50" s="12"/>
      <c r="E50" s="12"/>
      <c r="F50" s="12"/>
      <c r="G50" s="12"/>
      <c r="H50" s="12"/>
    </row>
    <row r="51" customFormat="false" ht="15" hidden="false" customHeight="false" outlineLevel="0" collapsed="false">
      <c r="A51" s="22"/>
      <c r="B51" s="12"/>
      <c r="C51" s="12"/>
      <c r="D51" s="12"/>
      <c r="E51" s="12"/>
      <c r="F51" s="12"/>
      <c r="G51" s="12"/>
      <c r="H51" s="12"/>
    </row>
    <row r="52" customFormat="false" ht="15" hidden="false" customHeight="false" outlineLevel="0" collapsed="false">
      <c r="A52" s="22"/>
      <c r="B52" s="12"/>
      <c r="C52" s="12"/>
      <c r="D52" s="12"/>
      <c r="E52" s="12"/>
      <c r="F52" s="12"/>
      <c r="G52" s="12"/>
      <c r="H52" s="12"/>
    </row>
    <row r="53" customFormat="false" ht="15" hidden="false" customHeight="false" outlineLevel="0" collapsed="false">
      <c r="A53" s="22"/>
      <c r="B53" s="12"/>
      <c r="C53" s="12"/>
      <c r="D53" s="12"/>
      <c r="E53" s="12"/>
      <c r="F53" s="12"/>
      <c r="G53" s="12"/>
      <c r="H53" s="12"/>
    </row>
    <row r="54" customFormat="false" ht="15" hidden="false" customHeight="false" outlineLevel="0" collapsed="false">
      <c r="A54" s="22"/>
      <c r="B54" s="12"/>
      <c r="C54" s="12"/>
      <c r="D54" s="12"/>
      <c r="E54" s="12"/>
      <c r="F54" s="12"/>
      <c r="G54" s="12"/>
      <c r="H54" s="12"/>
    </row>
    <row r="55" customFormat="false" ht="15" hidden="false" customHeight="false" outlineLevel="0" collapsed="false">
      <c r="A55" s="22"/>
      <c r="B55" s="12"/>
      <c r="C55" s="12"/>
      <c r="D55" s="12"/>
      <c r="E55" s="12"/>
      <c r="F55" s="12"/>
      <c r="G55" s="12"/>
      <c r="H55" s="12"/>
    </row>
    <row r="56" customFormat="false" ht="15" hidden="false" customHeight="false" outlineLevel="0" collapsed="false">
      <c r="A56" s="22"/>
      <c r="B56" s="12"/>
      <c r="C56" s="12"/>
      <c r="D56" s="12"/>
      <c r="E56" s="12"/>
      <c r="F56" s="12"/>
      <c r="G56" s="12"/>
      <c r="H56" s="12"/>
    </row>
    <row r="57" customFormat="false" ht="15" hidden="false" customHeight="false" outlineLevel="0" collapsed="false">
      <c r="A57" s="22"/>
      <c r="B57" s="12"/>
      <c r="C57" s="12"/>
      <c r="D57" s="12"/>
      <c r="E57" s="12"/>
      <c r="F57" s="12"/>
      <c r="G57" s="12"/>
      <c r="H57" s="12"/>
    </row>
    <row r="58" customFormat="false" ht="15" hidden="false" customHeight="false" outlineLevel="0" collapsed="false">
      <c r="A58" s="22"/>
      <c r="B58" s="12"/>
      <c r="C58" s="12"/>
      <c r="D58" s="12"/>
      <c r="E58" s="12"/>
      <c r="F58" s="12"/>
      <c r="G58" s="12"/>
      <c r="H58" s="12"/>
    </row>
    <row r="59" customFormat="false" ht="15" hidden="false" customHeight="false" outlineLevel="0" collapsed="false">
      <c r="A59" s="22"/>
      <c r="B59" s="12"/>
      <c r="C59" s="12"/>
      <c r="D59" s="12"/>
      <c r="E59" s="12"/>
      <c r="F59" s="12"/>
      <c r="G59" s="12"/>
      <c r="H59" s="12"/>
    </row>
    <row r="60" customFormat="false" ht="15" hidden="false" customHeight="false" outlineLevel="0" collapsed="false">
      <c r="A60" s="22"/>
      <c r="B60" s="12"/>
      <c r="C60" s="12"/>
      <c r="D60" s="12"/>
      <c r="E60" s="12"/>
      <c r="F60" s="12"/>
      <c r="G60" s="12"/>
      <c r="H60" s="12"/>
    </row>
    <row r="61" customFormat="false" ht="15" hidden="false" customHeight="false" outlineLevel="0" collapsed="false">
      <c r="A61" s="22"/>
      <c r="B61" s="12"/>
      <c r="C61" s="12"/>
      <c r="D61" s="12"/>
      <c r="E61" s="12"/>
      <c r="F61" s="12"/>
      <c r="G61" s="12"/>
      <c r="H61" s="12"/>
    </row>
    <row r="62" customFormat="false" ht="15" hidden="false" customHeight="false" outlineLevel="0" collapsed="false">
      <c r="A62" s="22"/>
      <c r="B62" s="12"/>
      <c r="C62" s="12"/>
      <c r="D62" s="12"/>
      <c r="E62" s="12"/>
      <c r="F62" s="12"/>
      <c r="G62" s="12"/>
      <c r="H62" s="12"/>
    </row>
    <row r="63" customFormat="false" ht="15" hidden="false" customHeight="false" outlineLevel="0" collapsed="false">
      <c r="A63" s="22"/>
      <c r="B63" s="12"/>
      <c r="C63" s="12"/>
      <c r="D63" s="12"/>
      <c r="E63" s="12"/>
      <c r="F63" s="12"/>
      <c r="G63" s="12"/>
      <c r="H63" s="12"/>
    </row>
    <row r="64" customFormat="false" ht="15" hidden="false" customHeight="false" outlineLevel="0" collapsed="false">
      <c r="A64" s="22"/>
      <c r="B64" s="12"/>
      <c r="C64" s="12"/>
      <c r="D64" s="12"/>
      <c r="E64" s="12"/>
      <c r="F64" s="12"/>
      <c r="G64" s="12"/>
      <c r="H64" s="12"/>
    </row>
    <row r="65" customFormat="false" ht="15" hidden="false" customHeight="false" outlineLevel="0" collapsed="false">
      <c r="A65" s="22"/>
      <c r="B65" s="12"/>
      <c r="C65" s="12"/>
      <c r="D65" s="12"/>
      <c r="E65" s="12"/>
      <c r="F65" s="12"/>
      <c r="G65" s="12"/>
      <c r="H65" s="12"/>
    </row>
    <row r="66" customFormat="false" ht="15" hidden="false" customHeight="false" outlineLevel="0" collapsed="false">
      <c r="A66" s="22"/>
      <c r="B66" s="12"/>
      <c r="C66" s="12"/>
      <c r="D66" s="12"/>
      <c r="E66" s="12"/>
      <c r="F66" s="12"/>
      <c r="G66" s="12"/>
      <c r="H66" s="12"/>
    </row>
    <row r="67" customFormat="false" ht="15" hidden="false" customHeight="false" outlineLevel="0" collapsed="false">
      <c r="A67" s="22"/>
      <c r="B67" s="12"/>
      <c r="C67" s="12"/>
      <c r="D67" s="12"/>
      <c r="E67" s="12"/>
      <c r="F67" s="12"/>
      <c r="G67" s="12"/>
      <c r="H67" s="12"/>
    </row>
    <row r="68" customFormat="false" ht="15" hidden="false" customHeight="false" outlineLevel="0" collapsed="false">
      <c r="A68" s="22"/>
      <c r="B68" s="12"/>
      <c r="C68" s="12"/>
      <c r="D68" s="12"/>
      <c r="E68" s="12"/>
      <c r="F68" s="12"/>
      <c r="G68" s="12"/>
      <c r="H68" s="12"/>
    </row>
    <row r="69" customFormat="false" ht="15" hidden="false" customHeight="false" outlineLevel="0" collapsed="false">
      <c r="A69" s="22"/>
      <c r="B69" s="12"/>
      <c r="C69" s="12"/>
      <c r="D69" s="12"/>
      <c r="E69" s="12"/>
      <c r="F69" s="12"/>
      <c r="G69" s="12"/>
      <c r="H69" s="12"/>
    </row>
    <row r="70" customFormat="false" ht="15" hidden="false" customHeight="false" outlineLevel="0" collapsed="false">
      <c r="A70" s="22"/>
      <c r="B70" s="12"/>
      <c r="C70" s="12"/>
      <c r="D70" s="12"/>
      <c r="E70" s="12"/>
      <c r="F70" s="12"/>
      <c r="G70" s="12"/>
      <c r="H70" s="12"/>
    </row>
    <row r="71" customFormat="false" ht="15" hidden="false" customHeight="false" outlineLevel="0" collapsed="false">
      <c r="A71" s="22"/>
      <c r="B71" s="12"/>
      <c r="C71" s="12"/>
      <c r="D71" s="12"/>
      <c r="E71" s="12"/>
      <c r="F71" s="12"/>
      <c r="G71" s="12"/>
      <c r="H71" s="12"/>
    </row>
    <row r="72" customFormat="false" ht="15" hidden="false" customHeight="false" outlineLevel="0" collapsed="false">
      <c r="A72" s="22"/>
      <c r="B72" s="12"/>
      <c r="C72" s="12"/>
      <c r="D72" s="12"/>
      <c r="E72" s="12"/>
      <c r="F72" s="12"/>
      <c r="G72" s="12"/>
      <c r="H72" s="12"/>
    </row>
    <row r="73" customFormat="false" ht="15" hidden="false" customHeight="false" outlineLevel="0" collapsed="false">
      <c r="A73" s="22"/>
      <c r="B73" s="12"/>
      <c r="C73" s="12"/>
      <c r="D73" s="12"/>
      <c r="E73" s="12"/>
      <c r="F73" s="12"/>
      <c r="G73" s="12"/>
      <c r="H73" s="12"/>
    </row>
    <row r="74" customFormat="false" ht="15" hidden="false" customHeight="false" outlineLevel="0" collapsed="false">
      <c r="A74" s="22"/>
      <c r="B74" s="12"/>
      <c r="C74" s="12"/>
      <c r="D74" s="12"/>
      <c r="E74" s="12"/>
      <c r="F74" s="12"/>
      <c r="G74" s="12"/>
      <c r="H74" s="12"/>
    </row>
    <row r="75" customFormat="false" ht="15" hidden="false" customHeight="false" outlineLevel="0" collapsed="false">
      <c r="A75" s="22"/>
      <c r="B75" s="12"/>
      <c r="C75" s="12"/>
      <c r="D75" s="12"/>
      <c r="E75" s="12"/>
      <c r="F75" s="12"/>
      <c r="G75" s="12"/>
      <c r="H75" s="12"/>
    </row>
    <row r="76" customFormat="false" ht="15" hidden="false" customHeight="false" outlineLevel="0" collapsed="false">
      <c r="A76" s="22"/>
      <c r="B76" s="12"/>
      <c r="C76" s="12"/>
      <c r="D76" s="12"/>
      <c r="E76" s="12"/>
      <c r="F76" s="12"/>
      <c r="G76" s="12"/>
      <c r="H76" s="12"/>
    </row>
    <row r="77" customFormat="false" ht="15" hidden="false" customHeight="false" outlineLevel="0" collapsed="false">
      <c r="A77" s="22"/>
      <c r="B77" s="12"/>
      <c r="C77" s="12"/>
      <c r="D77" s="12"/>
      <c r="E77" s="12"/>
      <c r="F77" s="12"/>
      <c r="G77" s="12"/>
      <c r="H77" s="12"/>
    </row>
    <row r="78" customFormat="false" ht="15" hidden="false" customHeight="false" outlineLevel="0" collapsed="false">
      <c r="A78" s="22"/>
      <c r="B78" s="12"/>
      <c r="C78" s="12"/>
      <c r="D78" s="12"/>
      <c r="E78" s="12"/>
      <c r="F78" s="12"/>
      <c r="G78" s="12"/>
      <c r="H78" s="12"/>
    </row>
    <row r="79" customFormat="false" ht="15" hidden="false" customHeight="false" outlineLevel="0" collapsed="false">
      <c r="A79" s="22"/>
      <c r="B79" s="12"/>
      <c r="C79" s="12"/>
      <c r="D79" s="12"/>
      <c r="E79" s="12"/>
      <c r="F79" s="12"/>
      <c r="G79" s="12"/>
      <c r="H79" s="12"/>
    </row>
    <row r="80" customFormat="false" ht="15" hidden="false" customHeight="false" outlineLevel="0" collapsed="false">
      <c r="A80" s="22"/>
      <c r="B80" s="12"/>
      <c r="C80" s="12"/>
      <c r="D80" s="12"/>
      <c r="E80" s="12"/>
      <c r="F80" s="12"/>
      <c r="G80" s="12"/>
      <c r="H80" s="12"/>
    </row>
    <row r="81" customFormat="false" ht="15" hidden="false" customHeight="false" outlineLevel="0" collapsed="false">
      <c r="A81" s="22"/>
      <c r="B81" s="12"/>
      <c r="C81" s="12"/>
      <c r="D81" s="12"/>
      <c r="E81" s="12"/>
      <c r="F81" s="12"/>
      <c r="G81" s="12"/>
      <c r="H81" s="12"/>
    </row>
    <row r="82" customFormat="false" ht="15" hidden="false" customHeight="false" outlineLevel="0" collapsed="false">
      <c r="A82" s="22"/>
      <c r="B82" s="12"/>
      <c r="C82" s="12"/>
      <c r="D82" s="12"/>
      <c r="E82" s="12"/>
      <c r="F82" s="12"/>
      <c r="G82" s="12"/>
      <c r="H82" s="12"/>
    </row>
    <row r="83" customFormat="false" ht="15" hidden="false" customHeight="false" outlineLevel="0" collapsed="false">
      <c r="A83" s="22"/>
      <c r="B83" s="12"/>
      <c r="C83" s="12"/>
      <c r="D83" s="12"/>
      <c r="E83" s="12"/>
      <c r="F83" s="12"/>
      <c r="G83" s="12"/>
      <c r="H83" s="12"/>
    </row>
    <row r="84" customFormat="false" ht="15" hidden="false" customHeight="false" outlineLevel="0" collapsed="false">
      <c r="A84" s="22"/>
      <c r="B84" s="12"/>
      <c r="C84" s="12"/>
      <c r="D84" s="12"/>
      <c r="E84" s="12"/>
      <c r="F84" s="12"/>
      <c r="G84" s="12"/>
      <c r="H84" s="12"/>
    </row>
    <row r="85" customFormat="false" ht="15" hidden="false" customHeight="false" outlineLevel="0" collapsed="false">
      <c r="A85" s="22"/>
      <c r="B85" s="12"/>
      <c r="C85" s="12"/>
      <c r="D85" s="12"/>
      <c r="E85" s="12"/>
      <c r="F85" s="12"/>
      <c r="G85" s="12"/>
      <c r="H85" s="12"/>
    </row>
    <row r="86" customFormat="false" ht="15" hidden="false" customHeight="false" outlineLevel="0" collapsed="false">
      <c r="A86" s="22"/>
      <c r="B86" s="12"/>
      <c r="C86" s="12"/>
      <c r="D86" s="12"/>
      <c r="E86" s="12"/>
      <c r="F86" s="12"/>
      <c r="G86" s="12"/>
      <c r="H86" s="12"/>
    </row>
    <row r="87" customFormat="false" ht="15" hidden="false" customHeight="false" outlineLevel="0" collapsed="false">
      <c r="A87" s="22"/>
      <c r="B87" s="12"/>
      <c r="C87" s="12"/>
      <c r="D87" s="12"/>
      <c r="E87" s="12"/>
      <c r="F87" s="12"/>
      <c r="G87" s="12"/>
      <c r="H87" s="12"/>
    </row>
    <row r="88" customFormat="false" ht="15" hidden="false" customHeight="false" outlineLevel="0" collapsed="false">
      <c r="A88" s="22"/>
      <c r="B88" s="12"/>
      <c r="C88" s="12"/>
      <c r="D88" s="12"/>
      <c r="E88" s="12"/>
      <c r="F88" s="12"/>
      <c r="G88" s="12"/>
      <c r="H88" s="12"/>
    </row>
    <row r="89" customFormat="false" ht="15" hidden="false" customHeight="false" outlineLevel="0" collapsed="false">
      <c r="A89" s="22"/>
      <c r="B89" s="12"/>
      <c r="C89" s="12"/>
      <c r="D89" s="12"/>
      <c r="E89" s="12"/>
      <c r="F89" s="12"/>
      <c r="G89" s="12"/>
      <c r="H89" s="12"/>
    </row>
    <row r="90" customFormat="false" ht="15" hidden="false" customHeight="false" outlineLevel="0" collapsed="false">
      <c r="A90" s="22"/>
      <c r="B90" s="12"/>
      <c r="C90" s="12"/>
      <c r="D90" s="12"/>
      <c r="E90" s="12"/>
      <c r="F90" s="12"/>
      <c r="G90" s="12"/>
      <c r="H90" s="12"/>
    </row>
    <row r="91" customFormat="false" ht="15" hidden="false" customHeight="false" outlineLevel="0" collapsed="false">
      <c r="A91" s="22"/>
      <c r="B91" s="12"/>
      <c r="C91" s="12"/>
      <c r="D91" s="12"/>
      <c r="E91" s="12"/>
      <c r="F91" s="12"/>
      <c r="G91" s="12"/>
      <c r="H91" s="12"/>
    </row>
    <row r="92" customFormat="false" ht="15" hidden="false" customHeight="false" outlineLevel="0" collapsed="false">
      <c r="A92" s="22"/>
      <c r="B92" s="12"/>
      <c r="C92" s="12"/>
      <c r="D92" s="12"/>
      <c r="E92" s="12"/>
      <c r="F92" s="12"/>
      <c r="G92" s="12"/>
      <c r="H92" s="12"/>
    </row>
    <row r="93" customFormat="false" ht="15" hidden="false" customHeight="false" outlineLevel="0" collapsed="false">
      <c r="A93" s="22"/>
      <c r="B93" s="12"/>
      <c r="C93" s="12"/>
      <c r="D93" s="12"/>
      <c r="E93" s="12"/>
      <c r="F93" s="12"/>
      <c r="G93" s="12"/>
      <c r="H93" s="12"/>
    </row>
    <row r="94" customFormat="false" ht="15" hidden="false" customHeight="false" outlineLevel="0" collapsed="false">
      <c r="A94" s="22"/>
      <c r="B94" s="12"/>
      <c r="C94" s="12"/>
      <c r="D94" s="12"/>
      <c r="E94" s="12"/>
      <c r="F94" s="12"/>
      <c r="G94" s="12"/>
      <c r="H94" s="12"/>
    </row>
    <row r="95" customFormat="false" ht="15" hidden="false" customHeight="false" outlineLevel="0" collapsed="false">
      <c r="A95" s="22"/>
      <c r="B95" s="12"/>
      <c r="C95" s="12"/>
      <c r="D95" s="12"/>
      <c r="E95" s="12"/>
      <c r="F95" s="12"/>
      <c r="G95" s="12"/>
      <c r="H95" s="12"/>
    </row>
    <row r="96" customFormat="false" ht="15" hidden="false" customHeight="false" outlineLevel="0" collapsed="false">
      <c r="A96" s="22"/>
      <c r="B96" s="12"/>
      <c r="C96" s="12"/>
      <c r="D96" s="12"/>
      <c r="E96" s="12"/>
      <c r="F96" s="12"/>
      <c r="G96" s="12"/>
      <c r="H96" s="12"/>
    </row>
    <row r="97" customFormat="false" ht="15" hidden="false" customHeight="false" outlineLevel="0" collapsed="false">
      <c r="A97" s="22"/>
      <c r="B97" s="12"/>
      <c r="C97" s="12"/>
      <c r="D97" s="12"/>
      <c r="E97" s="12"/>
      <c r="F97" s="12"/>
      <c r="G97" s="12"/>
      <c r="H97" s="12"/>
    </row>
    <row r="98" customFormat="false" ht="15" hidden="false" customHeight="false" outlineLevel="0" collapsed="false">
      <c r="A98" s="22"/>
      <c r="B98" s="12"/>
      <c r="C98" s="12"/>
      <c r="D98" s="12"/>
      <c r="E98" s="12"/>
      <c r="F98" s="12"/>
      <c r="G98" s="12"/>
      <c r="H98" s="12"/>
    </row>
    <row r="99" customFormat="false" ht="15" hidden="false" customHeight="false" outlineLevel="0" collapsed="false">
      <c r="A99" s="22"/>
      <c r="B99" s="12"/>
      <c r="C99" s="12"/>
      <c r="D99" s="12"/>
      <c r="E99" s="12"/>
      <c r="F99" s="12"/>
      <c r="G99" s="12"/>
      <c r="H99" s="12"/>
    </row>
    <row r="100" customFormat="false" ht="15" hidden="false" customHeight="false" outlineLevel="0" collapsed="false">
      <c r="A100" s="22"/>
      <c r="B100" s="12"/>
      <c r="C100" s="12"/>
      <c r="D100" s="12"/>
      <c r="E100" s="12"/>
      <c r="F100" s="12"/>
      <c r="G100" s="12"/>
      <c r="H100" s="12"/>
    </row>
    <row r="101" customFormat="false" ht="15" hidden="false" customHeight="false" outlineLevel="0" collapsed="false">
      <c r="A101" s="22"/>
      <c r="B101" s="12"/>
      <c r="C101" s="12"/>
      <c r="D101" s="12"/>
      <c r="E101" s="12"/>
      <c r="F101" s="12"/>
      <c r="G101" s="12"/>
      <c r="H101" s="12"/>
    </row>
    <row r="102" customFormat="false" ht="15" hidden="false" customHeight="false" outlineLevel="0" collapsed="false">
      <c r="A102" s="22"/>
      <c r="B102" s="12"/>
      <c r="C102" s="12"/>
      <c r="D102" s="12"/>
      <c r="E102" s="12"/>
      <c r="F102" s="12"/>
      <c r="G102" s="12"/>
      <c r="H102" s="12"/>
    </row>
    <row r="103" customFormat="false" ht="15" hidden="false" customHeight="false" outlineLevel="0" collapsed="false">
      <c r="A103" s="22"/>
      <c r="B103" s="12"/>
      <c r="C103" s="12"/>
      <c r="D103" s="12"/>
      <c r="E103" s="12"/>
      <c r="F103" s="12"/>
      <c r="G103" s="12"/>
      <c r="H103" s="12"/>
    </row>
    <row r="104" customFormat="false" ht="15" hidden="false" customHeight="false" outlineLevel="0" collapsed="false">
      <c r="A104" s="22"/>
      <c r="B104" s="12"/>
      <c r="C104" s="12"/>
      <c r="D104" s="12"/>
      <c r="E104" s="12"/>
      <c r="F104" s="12"/>
      <c r="G104" s="12"/>
      <c r="H104" s="12"/>
    </row>
    <row r="105" customFormat="false" ht="15" hidden="false" customHeight="false" outlineLevel="0" collapsed="false">
      <c r="A105" s="22"/>
      <c r="B105" s="12"/>
      <c r="C105" s="12"/>
      <c r="D105" s="12"/>
      <c r="E105" s="12"/>
      <c r="F105" s="12"/>
      <c r="G105" s="12"/>
      <c r="H105" s="12"/>
    </row>
    <row r="106" customFormat="false" ht="15" hidden="false" customHeight="false" outlineLevel="0" collapsed="false">
      <c r="A106" s="22"/>
      <c r="B106" s="12"/>
      <c r="C106" s="12"/>
      <c r="D106" s="12"/>
      <c r="E106" s="12"/>
      <c r="F106" s="12"/>
      <c r="G106" s="12"/>
      <c r="H106" s="12"/>
    </row>
    <row r="107" customFormat="false" ht="15" hidden="false" customHeight="false" outlineLevel="0" collapsed="false">
      <c r="A107" s="22"/>
      <c r="B107" s="12"/>
      <c r="C107" s="12"/>
      <c r="D107" s="12"/>
      <c r="E107" s="12"/>
      <c r="F107" s="12"/>
      <c r="G107" s="12"/>
      <c r="H107" s="12"/>
    </row>
    <row r="108" customFormat="false" ht="15" hidden="false" customHeight="false" outlineLevel="0" collapsed="false">
      <c r="A108" s="22"/>
      <c r="B108" s="12"/>
      <c r="C108" s="12"/>
      <c r="D108" s="12"/>
      <c r="E108" s="12"/>
      <c r="F108" s="12"/>
      <c r="G108" s="12"/>
      <c r="H108" s="12"/>
    </row>
    <row r="109" customFormat="false" ht="15" hidden="false" customHeight="false" outlineLevel="0" collapsed="false">
      <c r="A109" s="22"/>
      <c r="B109" s="12"/>
      <c r="C109" s="12"/>
      <c r="D109" s="12"/>
      <c r="E109" s="12"/>
      <c r="F109" s="12"/>
      <c r="G109" s="12"/>
      <c r="H109" s="12"/>
    </row>
    <row r="110" customFormat="false" ht="15" hidden="false" customHeight="false" outlineLevel="0" collapsed="false">
      <c r="A110" s="22"/>
      <c r="B110" s="12"/>
      <c r="C110" s="12"/>
      <c r="D110" s="12"/>
      <c r="E110" s="12"/>
      <c r="F110" s="12"/>
      <c r="G110" s="12"/>
      <c r="H110" s="12"/>
    </row>
    <row r="111" customFormat="false" ht="15" hidden="false" customHeight="false" outlineLevel="0" collapsed="false">
      <c r="A111" s="22"/>
      <c r="B111" s="12"/>
      <c r="C111" s="12"/>
      <c r="D111" s="12"/>
      <c r="E111" s="12"/>
      <c r="F111" s="12"/>
      <c r="G111" s="12"/>
      <c r="H111" s="12"/>
    </row>
    <row r="112" customFormat="false" ht="15" hidden="false" customHeight="false" outlineLevel="0" collapsed="false">
      <c r="A112" s="22"/>
      <c r="B112" s="12"/>
      <c r="C112" s="12"/>
      <c r="D112" s="12"/>
      <c r="E112" s="12"/>
      <c r="F112" s="12"/>
      <c r="G112" s="12"/>
      <c r="H112" s="12"/>
    </row>
    <row r="113" customFormat="false" ht="15" hidden="false" customHeight="false" outlineLevel="0" collapsed="false">
      <c r="A113" s="22"/>
      <c r="B113" s="12"/>
      <c r="C113" s="12"/>
      <c r="D113" s="12"/>
      <c r="E113" s="12"/>
      <c r="F113" s="12"/>
      <c r="G113" s="12"/>
      <c r="H113" s="12"/>
    </row>
    <row r="114" customFormat="false" ht="15" hidden="false" customHeight="false" outlineLevel="0" collapsed="false">
      <c r="A114" s="22"/>
      <c r="B114" s="12"/>
      <c r="C114" s="12"/>
      <c r="D114" s="12"/>
      <c r="E114" s="12"/>
      <c r="F114" s="12"/>
      <c r="G114" s="12"/>
      <c r="H114" s="12"/>
    </row>
    <row r="115" customFormat="false" ht="15" hidden="false" customHeight="false" outlineLevel="0" collapsed="false">
      <c r="A115" s="22"/>
      <c r="B115" s="12"/>
      <c r="C115" s="12"/>
      <c r="D115" s="12"/>
      <c r="E115" s="12"/>
      <c r="F115" s="12"/>
      <c r="G115" s="12"/>
      <c r="H115" s="12"/>
    </row>
    <row r="116" customFormat="false" ht="15" hidden="false" customHeight="false" outlineLevel="0" collapsed="false">
      <c r="A116" s="22"/>
      <c r="B116" s="12"/>
      <c r="C116" s="12"/>
      <c r="D116" s="12"/>
      <c r="E116" s="12"/>
      <c r="F116" s="12"/>
      <c r="G116" s="12"/>
      <c r="H116" s="12"/>
    </row>
    <row r="117" customFormat="false" ht="15" hidden="false" customHeight="false" outlineLevel="0" collapsed="false">
      <c r="A117" s="22"/>
      <c r="B117" s="12"/>
      <c r="C117" s="12"/>
      <c r="D117" s="12"/>
      <c r="E117" s="12"/>
      <c r="F117" s="12"/>
      <c r="G117" s="12"/>
      <c r="H117" s="12"/>
    </row>
    <row r="118" customFormat="false" ht="15" hidden="false" customHeight="false" outlineLevel="0" collapsed="false">
      <c r="A118" s="22"/>
      <c r="B118" s="12"/>
      <c r="C118" s="12"/>
      <c r="D118" s="12"/>
      <c r="E118" s="12"/>
      <c r="F118" s="12"/>
      <c r="G118" s="12"/>
      <c r="H118" s="12"/>
    </row>
    <row r="119" customFormat="false" ht="15" hidden="false" customHeight="false" outlineLevel="0" collapsed="false">
      <c r="A119" s="22"/>
      <c r="B119" s="12"/>
      <c r="C119" s="12"/>
      <c r="D119" s="12"/>
      <c r="E119" s="12"/>
      <c r="F119" s="12"/>
      <c r="G119" s="12"/>
      <c r="H119" s="12"/>
    </row>
    <row r="120" customFormat="false" ht="15" hidden="false" customHeight="false" outlineLevel="0" collapsed="false">
      <c r="A120" s="22"/>
      <c r="B120" s="12"/>
      <c r="C120" s="12"/>
      <c r="D120" s="12"/>
      <c r="E120" s="12"/>
      <c r="F120" s="12"/>
      <c r="G120" s="12"/>
      <c r="H120" s="12"/>
    </row>
    <row r="121" customFormat="false" ht="15" hidden="false" customHeight="false" outlineLevel="0" collapsed="false">
      <c r="A121" s="22"/>
      <c r="B121" s="12"/>
      <c r="C121" s="12"/>
      <c r="D121" s="12"/>
      <c r="E121" s="12"/>
      <c r="F121" s="12"/>
      <c r="G121" s="12"/>
      <c r="H121" s="12"/>
    </row>
    <row r="122" customFormat="false" ht="15" hidden="false" customHeight="false" outlineLevel="0" collapsed="false">
      <c r="A122" s="22"/>
      <c r="B122" s="12"/>
      <c r="C122" s="12"/>
      <c r="D122" s="12"/>
      <c r="E122" s="12"/>
      <c r="F122" s="12"/>
      <c r="G122" s="12"/>
      <c r="H122" s="12"/>
    </row>
    <row r="123" customFormat="false" ht="15" hidden="false" customHeight="false" outlineLevel="0" collapsed="false">
      <c r="A123" s="22"/>
      <c r="B123" s="12"/>
      <c r="C123" s="12"/>
      <c r="D123" s="12"/>
      <c r="E123" s="12"/>
      <c r="F123" s="12"/>
      <c r="G123" s="12"/>
      <c r="H123" s="12"/>
    </row>
    <row r="124" customFormat="false" ht="15" hidden="false" customHeight="false" outlineLevel="0" collapsed="false">
      <c r="A124" s="22"/>
      <c r="B124" s="12"/>
      <c r="C124" s="12"/>
      <c r="D124" s="12"/>
      <c r="E124" s="12"/>
      <c r="F124" s="12"/>
      <c r="G124" s="12"/>
      <c r="H124" s="12"/>
    </row>
    <row r="125" customFormat="false" ht="15" hidden="false" customHeight="false" outlineLevel="0" collapsed="false">
      <c r="A125" s="22"/>
      <c r="B125" s="12"/>
      <c r="C125" s="12"/>
      <c r="D125" s="12"/>
      <c r="E125" s="12"/>
      <c r="F125" s="12"/>
      <c r="G125" s="12"/>
      <c r="H125" s="12"/>
    </row>
    <row r="126" customFormat="false" ht="15" hidden="false" customHeight="false" outlineLevel="0" collapsed="false">
      <c r="A126" s="22"/>
      <c r="B126" s="12"/>
      <c r="C126" s="12"/>
      <c r="D126" s="12"/>
      <c r="E126" s="12"/>
      <c r="F126" s="12"/>
      <c r="G126" s="12"/>
      <c r="H126" s="12"/>
    </row>
    <row r="127" customFormat="false" ht="15" hidden="false" customHeight="false" outlineLevel="0" collapsed="false">
      <c r="A127" s="22"/>
      <c r="B127" s="12"/>
      <c r="C127" s="12"/>
      <c r="D127" s="12"/>
      <c r="E127" s="12"/>
      <c r="F127" s="12"/>
      <c r="G127" s="12"/>
      <c r="H127" s="12"/>
    </row>
    <row r="128" customFormat="false" ht="15" hidden="false" customHeight="false" outlineLevel="0" collapsed="false">
      <c r="A128" s="22"/>
      <c r="B128" s="12"/>
      <c r="C128" s="12"/>
      <c r="D128" s="12"/>
      <c r="E128" s="12"/>
      <c r="F128" s="12"/>
      <c r="G128" s="12"/>
      <c r="H128" s="12"/>
    </row>
    <row r="129" customFormat="false" ht="15" hidden="false" customHeight="false" outlineLevel="0" collapsed="false">
      <c r="A129" s="22"/>
      <c r="B129" s="12"/>
      <c r="C129" s="12"/>
      <c r="D129" s="12"/>
      <c r="E129" s="12"/>
      <c r="F129" s="12"/>
      <c r="G129" s="12"/>
      <c r="H129" s="12"/>
    </row>
    <row r="130" customFormat="false" ht="15" hidden="false" customHeight="false" outlineLevel="0" collapsed="false">
      <c r="A130" s="22"/>
      <c r="B130" s="12"/>
      <c r="C130" s="12"/>
      <c r="D130" s="12"/>
      <c r="E130" s="12"/>
      <c r="F130" s="12"/>
      <c r="G130" s="12"/>
      <c r="H130" s="12"/>
    </row>
    <row r="131" customFormat="false" ht="15" hidden="false" customHeight="false" outlineLevel="0" collapsed="false">
      <c r="A131" s="22"/>
      <c r="B131" s="12"/>
      <c r="C131" s="12"/>
      <c r="D131" s="12"/>
      <c r="E131" s="12"/>
      <c r="F131" s="12"/>
      <c r="G131" s="12"/>
      <c r="H131" s="12"/>
    </row>
    <row r="132" customFormat="false" ht="15" hidden="false" customHeight="false" outlineLevel="0" collapsed="false">
      <c r="A132" s="22"/>
      <c r="B132" s="12"/>
      <c r="C132" s="12"/>
      <c r="D132" s="12"/>
      <c r="E132" s="12"/>
      <c r="F132" s="12"/>
      <c r="G132" s="12"/>
      <c r="H132" s="12"/>
    </row>
    <row r="133" customFormat="false" ht="15" hidden="false" customHeight="false" outlineLevel="0" collapsed="false">
      <c r="A133" s="22"/>
      <c r="B133" s="12"/>
      <c r="C133" s="12"/>
      <c r="D133" s="12"/>
      <c r="E133" s="12"/>
      <c r="F133" s="12"/>
      <c r="G133" s="12"/>
      <c r="H133" s="12"/>
    </row>
    <row r="134" customFormat="false" ht="15" hidden="false" customHeight="false" outlineLevel="0" collapsed="false">
      <c r="A134" s="22"/>
      <c r="B134" s="12"/>
      <c r="C134" s="12"/>
      <c r="D134" s="12"/>
      <c r="E134" s="12"/>
      <c r="F134" s="12"/>
      <c r="G134" s="12"/>
      <c r="H134" s="12"/>
    </row>
    <row r="135" customFormat="false" ht="15" hidden="false" customHeight="false" outlineLevel="0" collapsed="false">
      <c r="A135" s="22"/>
      <c r="B135" s="12"/>
      <c r="C135" s="12"/>
      <c r="D135" s="12"/>
      <c r="E135" s="12"/>
      <c r="F135" s="12"/>
      <c r="G135" s="12"/>
      <c r="H135" s="12"/>
    </row>
    <row r="136" customFormat="false" ht="15" hidden="false" customHeight="false" outlineLevel="0" collapsed="false">
      <c r="A136" s="22"/>
      <c r="B136" s="12"/>
      <c r="C136" s="12"/>
      <c r="D136" s="12"/>
      <c r="E136" s="12"/>
      <c r="F136" s="12"/>
      <c r="G136" s="12"/>
      <c r="H136" s="12"/>
    </row>
    <row r="137" customFormat="false" ht="15" hidden="false" customHeight="false" outlineLevel="0" collapsed="false">
      <c r="A137" s="22"/>
      <c r="B137" s="12"/>
      <c r="C137" s="12"/>
      <c r="D137" s="12"/>
      <c r="E137" s="12"/>
      <c r="F137" s="12"/>
      <c r="G137" s="12"/>
      <c r="H137" s="12"/>
    </row>
    <row r="138" customFormat="false" ht="15" hidden="false" customHeight="false" outlineLevel="0" collapsed="false">
      <c r="A138" s="22"/>
      <c r="B138" s="12"/>
      <c r="C138" s="12"/>
      <c r="D138" s="12"/>
      <c r="E138" s="12"/>
      <c r="F138" s="12"/>
      <c r="G138" s="12"/>
      <c r="H138" s="12"/>
    </row>
    <row r="139" customFormat="false" ht="15" hidden="false" customHeight="false" outlineLevel="0" collapsed="false">
      <c r="A139" s="22"/>
      <c r="B139" s="12"/>
      <c r="C139" s="12"/>
      <c r="D139" s="12"/>
      <c r="E139" s="12"/>
      <c r="F139" s="12"/>
      <c r="G139" s="12"/>
      <c r="H139" s="12"/>
    </row>
    <row r="140" customFormat="false" ht="15" hidden="false" customHeight="false" outlineLevel="0" collapsed="false">
      <c r="A140" s="22"/>
      <c r="B140" s="12"/>
      <c r="C140" s="12"/>
      <c r="D140" s="12"/>
      <c r="E140" s="12"/>
      <c r="F140" s="12"/>
      <c r="G140" s="12"/>
      <c r="H140" s="12"/>
    </row>
    <row r="141" customFormat="false" ht="15" hidden="false" customHeight="false" outlineLevel="0" collapsed="false">
      <c r="A141" s="22"/>
      <c r="B141" s="12"/>
      <c r="C141" s="12"/>
      <c r="D141" s="12"/>
      <c r="E141" s="12"/>
      <c r="F141" s="12"/>
      <c r="G141" s="12"/>
      <c r="H141" s="12"/>
    </row>
    <row r="142" customFormat="false" ht="15" hidden="false" customHeight="false" outlineLevel="0" collapsed="false">
      <c r="A142" s="22"/>
      <c r="B142" s="12"/>
      <c r="C142" s="12"/>
      <c r="D142" s="12"/>
      <c r="E142" s="12"/>
      <c r="F142" s="12"/>
      <c r="G142" s="12"/>
      <c r="H142" s="12"/>
    </row>
    <row r="143" customFormat="false" ht="15" hidden="false" customHeight="false" outlineLevel="0" collapsed="false">
      <c r="A143" s="22"/>
      <c r="B143" s="12"/>
      <c r="C143" s="12"/>
      <c r="D143" s="12"/>
      <c r="E143" s="12"/>
      <c r="F143" s="12"/>
      <c r="G143" s="12"/>
      <c r="H143" s="12"/>
    </row>
    <row r="144" customFormat="false" ht="15" hidden="false" customHeight="false" outlineLevel="0" collapsed="false">
      <c r="A144" s="22"/>
      <c r="B144" s="12"/>
      <c r="C144" s="12"/>
      <c r="D144" s="12"/>
      <c r="E144" s="12"/>
      <c r="F144" s="12"/>
      <c r="G144" s="12"/>
      <c r="H144" s="12"/>
    </row>
    <row r="145" customFormat="false" ht="15" hidden="false" customHeight="false" outlineLevel="0" collapsed="false">
      <c r="A145" s="22"/>
      <c r="B145" s="12"/>
      <c r="C145" s="12"/>
      <c r="D145" s="12"/>
      <c r="E145" s="12"/>
      <c r="F145" s="12"/>
      <c r="G145" s="12"/>
      <c r="H145" s="12"/>
    </row>
    <row r="146" customFormat="false" ht="15" hidden="false" customHeight="false" outlineLevel="0" collapsed="false">
      <c r="A146" s="22"/>
      <c r="B146" s="12"/>
      <c r="C146" s="12"/>
      <c r="D146" s="12"/>
      <c r="E146" s="12"/>
      <c r="F146" s="12"/>
      <c r="G146" s="12"/>
      <c r="H146" s="12"/>
    </row>
    <row r="147" customFormat="false" ht="15" hidden="false" customHeight="false" outlineLevel="0" collapsed="false">
      <c r="A147" s="22"/>
      <c r="B147" s="12"/>
      <c r="C147" s="12"/>
      <c r="D147" s="12"/>
      <c r="E147" s="12"/>
      <c r="F147" s="12"/>
      <c r="G147" s="12"/>
      <c r="H147" s="12"/>
    </row>
    <row r="148" customFormat="false" ht="15" hidden="false" customHeight="false" outlineLevel="0" collapsed="false">
      <c r="A148" s="22"/>
      <c r="B148" s="12"/>
      <c r="C148" s="12"/>
      <c r="D148" s="12"/>
      <c r="E148" s="12"/>
      <c r="F148" s="12"/>
      <c r="G148" s="12"/>
      <c r="H148" s="12"/>
    </row>
    <row r="149" customFormat="false" ht="15" hidden="false" customHeight="false" outlineLevel="0" collapsed="false">
      <c r="A149" s="22"/>
      <c r="B149" s="12"/>
      <c r="C149" s="12"/>
      <c r="D149" s="12"/>
      <c r="E149" s="12"/>
      <c r="F149" s="12"/>
      <c r="G149" s="12"/>
      <c r="H149" s="12"/>
    </row>
    <row r="150" customFormat="false" ht="15" hidden="false" customHeight="false" outlineLevel="0" collapsed="false">
      <c r="A150" s="22"/>
      <c r="B150" s="12"/>
      <c r="C150" s="12"/>
      <c r="D150" s="12"/>
      <c r="E150" s="12"/>
      <c r="F150" s="12"/>
      <c r="G150" s="12"/>
      <c r="H150" s="12"/>
    </row>
    <row r="151" customFormat="false" ht="15" hidden="false" customHeight="false" outlineLevel="0" collapsed="false">
      <c r="A151" s="22"/>
      <c r="B151" s="12"/>
      <c r="C151" s="12"/>
      <c r="D151" s="12"/>
      <c r="E151" s="12"/>
      <c r="F151" s="12"/>
      <c r="G151" s="12"/>
      <c r="H151" s="12"/>
    </row>
    <row r="152" customFormat="false" ht="15" hidden="false" customHeight="false" outlineLevel="0" collapsed="false">
      <c r="A152" s="22"/>
      <c r="B152" s="12"/>
      <c r="C152" s="12"/>
      <c r="D152" s="12"/>
      <c r="E152" s="12"/>
      <c r="F152" s="12"/>
      <c r="G152" s="12"/>
      <c r="H152" s="12"/>
    </row>
    <row r="153" customFormat="false" ht="15" hidden="false" customHeight="false" outlineLevel="0" collapsed="false">
      <c r="A153" s="22"/>
      <c r="B153" s="12"/>
      <c r="C153" s="12"/>
      <c r="D153" s="12"/>
      <c r="E153" s="12"/>
      <c r="F153" s="12"/>
      <c r="G153" s="12"/>
      <c r="H153" s="12"/>
    </row>
    <row r="154" customFormat="false" ht="15" hidden="false" customHeight="false" outlineLevel="0" collapsed="false">
      <c r="A154" s="22"/>
      <c r="B154" s="12"/>
      <c r="C154" s="12"/>
      <c r="D154" s="12"/>
      <c r="E154" s="12"/>
      <c r="F154" s="12"/>
      <c r="G154" s="12"/>
      <c r="H154" s="12"/>
    </row>
    <row r="155" customFormat="false" ht="15" hidden="false" customHeight="false" outlineLevel="0" collapsed="false">
      <c r="A155" s="22"/>
      <c r="B155" s="12"/>
      <c r="C155" s="12"/>
      <c r="D155" s="12"/>
      <c r="E155" s="12"/>
      <c r="F155" s="12"/>
      <c r="G155" s="12"/>
      <c r="H155" s="12"/>
    </row>
    <row r="156" customFormat="false" ht="15" hidden="false" customHeight="false" outlineLevel="0" collapsed="false">
      <c r="A156" s="22"/>
      <c r="B156" s="12"/>
      <c r="C156" s="12"/>
      <c r="D156" s="12"/>
      <c r="E156" s="12"/>
      <c r="F156" s="12"/>
      <c r="G156" s="12"/>
      <c r="H156" s="12"/>
    </row>
    <row r="157" customFormat="false" ht="15" hidden="false" customHeight="false" outlineLevel="0" collapsed="false">
      <c r="A157" s="22"/>
      <c r="B157" s="12"/>
      <c r="C157" s="12"/>
      <c r="D157" s="12"/>
      <c r="E157" s="12"/>
      <c r="F157" s="12"/>
      <c r="G157" s="12"/>
      <c r="H157" s="12"/>
    </row>
    <row r="158" customFormat="false" ht="15" hidden="false" customHeight="false" outlineLevel="0" collapsed="false">
      <c r="A158" s="22"/>
      <c r="B158" s="12"/>
      <c r="C158" s="12"/>
      <c r="D158" s="12"/>
      <c r="E158" s="12"/>
      <c r="F158" s="12"/>
      <c r="G158" s="12"/>
      <c r="H158" s="12"/>
    </row>
    <row r="159" customFormat="false" ht="15" hidden="false" customHeight="false" outlineLevel="0" collapsed="false">
      <c r="A159" s="22"/>
      <c r="B159" s="12"/>
      <c r="C159" s="12"/>
      <c r="D159" s="12"/>
      <c r="E159" s="12"/>
      <c r="F159" s="12"/>
      <c r="G159" s="12"/>
      <c r="H159" s="12"/>
    </row>
    <row r="160" customFormat="false" ht="15" hidden="false" customHeight="false" outlineLevel="0" collapsed="false">
      <c r="A160" s="22"/>
      <c r="B160" s="12"/>
      <c r="C160" s="12"/>
      <c r="D160" s="12"/>
      <c r="E160" s="12"/>
      <c r="F160" s="12"/>
      <c r="G160" s="12"/>
      <c r="H160" s="12"/>
    </row>
    <row r="161" customFormat="false" ht="15" hidden="false" customHeight="false" outlineLevel="0" collapsed="false">
      <c r="A161" s="22"/>
      <c r="B161" s="12"/>
      <c r="C161" s="12"/>
      <c r="D161" s="12"/>
      <c r="E161" s="12"/>
      <c r="F161" s="12"/>
      <c r="G161" s="12"/>
      <c r="H161" s="12"/>
    </row>
    <row r="162" customFormat="false" ht="15" hidden="false" customHeight="false" outlineLevel="0" collapsed="false">
      <c r="A162" s="22"/>
      <c r="B162" s="12"/>
      <c r="C162" s="12"/>
      <c r="D162" s="12"/>
      <c r="E162" s="12"/>
      <c r="F162" s="12"/>
      <c r="G162" s="12"/>
      <c r="H162" s="12"/>
    </row>
    <row r="163" customFormat="false" ht="15" hidden="false" customHeight="false" outlineLevel="0" collapsed="false">
      <c r="A163" s="22"/>
      <c r="B163" s="12"/>
      <c r="C163" s="12"/>
      <c r="D163" s="12"/>
      <c r="E163" s="12"/>
      <c r="F163" s="12"/>
      <c r="G163" s="12"/>
      <c r="H163" s="12"/>
    </row>
    <row r="164" customFormat="false" ht="15" hidden="false" customHeight="false" outlineLevel="0" collapsed="false">
      <c r="A164" s="22"/>
      <c r="B164" s="12"/>
      <c r="C164" s="12"/>
      <c r="D164" s="12"/>
      <c r="E164" s="12"/>
      <c r="F164" s="12"/>
      <c r="G164" s="12"/>
      <c r="H164" s="12"/>
    </row>
    <row r="165" customFormat="false" ht="15" hidden="false" customHeight="false" outlineLevel="0" collapsed="false">
      <c r="A165" s="22"/>
      <c r="B165" s="12"/>
      <c r="C165" s="12"/>
      <c r="D165" s="12"/>
      <c r="E165" s="12"/>
      <c r="F165" s="12"/>
      <c r="G165" s="12"/>
      <c r="H165" s="12"/>
    </row>
    <row r="166" customFormat="false" ht="15" hidden="false" customHeight="false" outlineLevel="0" collapsed="false">
      <c r="A166" s="22"/>
      <c r="B166" s="12"/>
      <c r="C166" s="12"/>
      <c r="D166" s="12"/>
      <c r="E166" s="12"/>
      <c r="F166" s="12"/>
      <c r="G166" s="12"/>
      <c r="H166" s="12"/>
    </row>
    <row r="167" customFormat="false" ht="15" hidden="false" customHeight="false" outlineLevel="0" collapsed="false">
      <c r="A167" s="22"/>
      <c r="B167" s="12"/>
      <c r="C167" s="12"/>
      <c r="D167" s="12"/>
      <c r="E167" s="12"/>
      <c r="F167" s="12"/>
      <c r="G167" s="12"/>
      <c r="H167" s="12"/>
    </row>
    <row r="168" customFormat="false" ht="15" hidden="false" customHeight="false" outlineLevel="0" collapsed="false">
      <c r="A168" s="22"/>
      <c r="B168" s="12"/>
      <c r="C168" s="12"/>
      <c r="D168" s="12"/>
      <c r="E168" s="12"/>
      <c r="F168" s="12"/>
      <c r="G168" s="12"/>
      <c r="H168" s="12"/>
    </row>
    <row r="169" customFormat="false" ht="15" hidden="false" customHeight="false" outlineLevel="0" collapsed="false">
      <c r="A169" s="22"/>
      <c r="B169" s="12"/>
      <c r="C169" s="12"/>
      <c r="D169" s="12"/>
      <c r="E169" s="12"/>
      <c r="F169" s="12"/>
      <c r="G169" s="12"/>
      <c r="H169" s="12"/>
    </row>
    <row r="170" customFormat="false" ht="15" hidden="false" customHeight="false" outlineLevel="0" collapsed="false">
      <c r="A170" s="22"/>
      <c r="B170" s="12"/>
      <c r="C170" s="12"/>
      <c r="D170" s="12"/>
      <c r="E170" s="12"/>
      <c r="F170" s="12"/>
      <c r="G170" s="12"/>
      <c r="H170" s="12"/>
    </row>
    <row r="171" customFormat="false" ht="15" hidden="false" customHeight="false" outlineLevel="0" collapsed="false">
      <c r="A171" s="22"/>
      <c r="B171" s="12"/>
      <c r="C171" s="12"/>
      <c r="D171" s="12"/>
      <c r="E171" s="12"/>
      <c r="F171" s="12"/>
      <c r="G171" s="12"/>
      <c r="H171" s="12"/>
    </row>
    <row r="172" customFormat="false" ht="15" hidden="false" customHeight="false" outlineLevel="0" collapsed="false">
      <c r="A172" s="22"/>
      <c r="B172" s="12"/>
      <c r="C172" s="12"/>
      <c r="D172" s="12"/>
      <c r="E172" s="12"/>
      <c r="F172" s="12"/>
      <c r="G172" s="12"/>
      <c r="H172" s="12"/>
    </row>
    <row r="173" customFormat="false" ht="15" hidden="false" customHeight="false" outlineLevel="0" collapsed="false">
      <c r="A173" s="22"/>
      <c r="B173" s="12"/>
      <c r="C173" s="12"/>
      <c r="D173" s="12"/>
      <c r="E173" s="12"/>
      <c r="F173" s="12"/>
      <c r="G173" s="12"/>
      <c r="H173" s="12"/>
    </row>
    <row r="174" customFormat="false" ht="15" hidden="false" customHeight="false" outlineLevel="0" collapsed="false">
      <c r="A174" s="22"/>
      <c r="B174" s="12"/>
      <c r="C174" s="12"/>
      <c r="D174" s="12"/>
      <c r="E174" s="12"/>
      <c r="F174" s="12"/>
      <c r="G174" s="12"/>
      <c r="H174" s="12"/>
    </row>
    <row r="175" customFormat="false" ht="15" hidden="false" customHeight="false" outlineLevel="0" collapsed="false">
      <c r="A175" s="22"/>
      <c r="B175" s="12"/>
      <c r="C175" s="12"/>
      <c r="D175" s="12"/>
      <c r="E175" s="12"/>
      <c r="F175" s="12"/>
      <c r="G175" s="12"/>
      <c r="H175" s="12"/>
    </row>
    <row r="176" customFormat="false" ht="15" hidden="false" customHeight="false" outlineLevel="0" collapsed="false">
      <c r="A176" s="22"/>
      <c r="B176" s="12"/>
      <c r="C176" s="12"/>
      <c r="D176" s="12"/>
      <c r="E176" s="12"/>
      <c r="F176" s="12"/>
      <c r="G176" s="12"/>
      <c r="H176" s="12"/>
    </row>
    <row r="177" customFormat="false" ht="15" hidden="false" customHeight="false" outlineLevel="0" collapsed="false">
      <c r="A177" s="22"/>
      <c r="B177" s="12"/>
      <c r="C177" s="12"/>
      <c r="D177" s="12"/>
      <c r="E177" s="12"/>
      <c r="F177" s="12"/>
      <c r="G177" s="12"/>
      <c r="H177" s="12"/>
    </row>
    <row r="178" customFormat="false" ht="15" hidden="false" customHeight="false" outlineLevel="0" collapsed="false">
      <c r="A178" s="22"/>
      <c r="B178" s="12"/>
      <c r="C178" s="12"/>
      <c r="D178" s="12"/>
      <c r="E178" s="12"/>
      <c r="F178" s="12"/>
      <c r="G178" s="12"/>
      <c r="H178" s="12"/>
    </row>
    <row r="179" customFormat="false" ht="15" hidden="false" customHeight="false" outlineLevel="0" collapsed="false">
      <c r="A179" s="22"/>
      <c r="B179" s="12"/>
      <c r="C179" s="12"/>
      <c r="D179" s="12"/>
      <c r="E179" s="12"/>
      <c r="F179" s="12"/>
      <c r="G179" s="12"/>
      <c r="H179" s="12"/>
    </row>
    <row r="180" customFormat="false" ht="15" hidden="false" customHeight="false" outlineLevel="0" collapsed="false">
      <c r="A180" s="22"/>
      <c r="B180" s="12"/>
      <c r="C180" s="12"/>
      <c r="D180" s="12"/>
      <c r="E180" s="12"/>
      <c r="F180" s="12"/>
      <c r="G180" s="12"/>
      <c r="H180" s="12"/>
    </row>
    <row r="181" customFormat="false" ht="15" hidden="false" customHeight="false" outlineLevel="0" collapsed="false">
      <c r="A181" s="22"/>
      <c r="B181" s="12"/>
      <c r="C181" s="12"/>
      <c r="D181" s="12"/>
      <c r="E181" s="12"/>
      <c r="F181" s="12"/>
      <c r="G181" s="12"/>
      <c r="H181" s="12"/>
    </row>
    <row r="182" customFormat="false" ht="15" hidden="false" customHeight="false" outlineLevel="0" collapsed="false">
      <c r="A182" s="22"/>
      <c r="B182" s="12"/>
      <c r="C182" s="12"/>
      <c r="D182" s="12"/>
      <c r="E182" s="12"/>
      <c r="F182" s="12"/>
      <c r="G182" s="12"/>
      <c r="H182" s="12"/>
    </row>
    <row r="183" customFormat="false" ht="15" hidden="false" customHeight="false" outlineLevel="0" collapsed="false">
      <c r="A183" s="22"/>
      <c r="B183" s="12"/>
      <c r="C183" s="12"/>
      <c r="D183" s="12"/>
      <c r="E183" s="12"/>
      <c r="F183" s="12"/>
      <c r="G183" s="12"/>
      <c r="H183" s="12"/>
    </row>
    <row r="184" customFormat="false" ht="15" hidden="false" customHeight="false" outlineLevel="0" collapsed="false">
      <c r="A184" s="22"/>
      <c r="B184" s="12"/>
      <c r="C184" s="12"/>
      <c r="D184" s="12"/>
      <c r="E184" s="12"/>
      <c r="F184" s="12"/>
      <c r="G184" s="12"/>
      <c r="H184" s="12"/>
    </row>
    <row r="185" customFormat="false" ht="15" hidden="false" customHeight="false" outlineLevel="0" collapsed="false">
      <c r="A185" s="22"/>
      <c r="B185" s="12"/>
      <c r="C185" s="12"/>
      <c r="D185" s="12"/>
      <c r="E185" s="12"/>
      <c r="F185" s="12"/>
      <c r="G185" s="12"/>
      <c r="H185" s="12"/>
    </row>
    <row r="186" customFormat="false" ht="15" hidden="false" customHeight="false" outlineLevel="0" collapsed="false">
      <c r="A186" s="22"/>
      <c r="B186" s="12"/>
      <c r="C186" s="12"/>
      <c r="D186" s="12"/>
      <c r="E186" s="12"/>
      <c r="F186" s="12"/>
      <c r="G186" s="12"/>
      <c r="H186" s="12"/>
    </row>
    <row r="187" customFormat="false" ht="15" hidden="false" customHeight="false" outlineLevel="0" collapsed="false">
      <c r="A187" s="22"/>
      <c r="B187" s="12"/>
      <c r="C187" s="12"/>
      <c r="D187" s="12"/>
      <c r="E187" s="12"/>
      <c r="F187" s="12"/>
      <c r="G187" s="12"/>
      <c r="H187" s="12"/>
    </row>
    <row r="188" customFormat="false" ht="15" hidden="false" customHeight="false" outlineLevel="0" collapsed="false">
      <c r="A188" s="22"/>
      <c r="B188" s="12"/>
      <c r="C188" s="12"/>
      <c r="D188" s="12"/>
      <c r="E188" s="12"/>
      <c r="F188" s="12"/>
      <c r="G188" s="12"/>
      <c r="H188" s="12"/>
    </row>
    <row r="189" customFormat="false" ht="15" hidden="false" customHeight="false" outlineLevel="0" collapsed="false">
      <c r="A189" s="22"/>
      <c r="B189" s="12"/>
      <c r="C189" s="12"/>
      <c r="D189" s="12"/>
      <c r="E189" s="12"/>
      <c r="F189" s="12"/>
      <c r="G189" s="12"/>
      <c r="H189" s="12"/>
    </row>
    <row r="190" customFormat="false" ht="15" hidden="false" customHeight="false" outlineLevel="0" collapsed="false">
      <c r="A190" s="22"/>
      <c r="B190" s="12"/>
      <c r="C190" s="12"/>
      <c r="D190" s="12"/>
      <c r="E190" s="12"/>
      <c r="F190" s="12"/>
      <c r="G190" s="12"/>
      <c r="H190" s="12"/>
    </row>
    <row r="191" customFormat="false" ht="15" hidden="false" customHeight="false" outlineLevel="0" collapsed="false">
      <c r="A191" s="22"/>
      <c r="B191" s="12"/>
      <c r="C191" s="12"/>
      <c r="D191" s="12"/>
      <c r="E191" s="12"/>
      <c r="F191" s="12"/>
      <c r="G191" s="12"/>
      <c r="H191" s="12"/>
    </row>
    <row r="192" customFormat="false" ht="15" hidden="false" customHeight="false" outlineLevel="0" collapsed="false">
      <c r="A192" s="22"/>
      <c r="B192" s="12"/>
      <c r="C192" s="12"/>
      <c r="D192" s="12"/>
      <c r="E192" s="12"/>
      <c r="F192" s="12"/>
      <c r="G192" s="12"/>
      <c r="H192" s="12"/>
    </row>
    <row r="193" customFormat="false" ht="15" hidden="false" customHeight="false" outlineLevel="0" collapsed="false">
      <c r="A193" s="22"/>
      <c r="B193" s="12"/>
      <c r="C193" s="12"/>
      <c r="D193" s="12"/>
      <c r="E193" s="12"/>
      <c r="F193" s="12"/>
      <c r="G193" s="12"/>
      <c r="H193" s="12"/>
    </row>
    <row r="194" customFormat="false" ht="15" hidden="false" customHeight="false" outlineLevel="0" collapsed="false">
      <c r="A194" s="22"/>
      <c r="B194" s="12"/>
      <c r="C194" s="12"/>
      <c r="D194" s="12"/>
      <c r="E194" s="12"/>
      <c r="F194" s="12"/>
      <c r="G194" s="12"/>
      <c r="H194" s="12"/>
    </row>
    <row r="195" customFormat="false" ht="15" hidden="false" customHeight="false" outlineLevel="0" collapsed="false">
      <c r="A195" s="22"/>
      <c r="B195" s="12"/>
      <c r="C195" s="12"/>
      <c r="D195" s="12"/>
      <c r="E195" s="12"/>
      <c r="F195" s="12"/>
      <c r="G195" s="12"/>
      <c r="H195" s="12"/>
    </row>
    <row r="196" customFormat="false" ht="15" hidden="false" customHeight="false" outlineLevel="0" collapsed="false">
      <c r="A196" s="22"/>
      <c r="B196" s="12"/>
      <c r="C196" s="12"/>
      <c r="D196" s="12"/>
      <c r="E196" s="12"/>
      <c r="F196" s="12"/>
      <c r="G196" s="12"/>
      <c r="H196" s="12"/>
    </row>
    <row r="197" customFormat="false" ht="15" hidden="false" customHeight="false" outlineLevel="0" collapsed="false">
      <c r="A197" s="22"/>
      <c r="B197" s="12"/>
      <c r="C197" s="12"/>
      <c r="D197" s="12"/>
      <c r="E197" s="12"/>
      <c r="F197" s="12"/>
      <c r="G197" s="12"/>
      <c r="H197" s="12"/>
    </row>
    <row r="198" customFormat="false" ht="15" hidden="false" customHeight="false" outlineLevel="0" collapsed="false">
      <c r="A198" s="22"/>
      <c r="B198" s="12"/>
      <c r="C198" s="12"/>
      <c r="D198" s="12"/>
      <c r="E198" s="12"/>
      <c r="F198" s="12"/>
      <c r="G198" s="12"/>
      <c r="H198" s="12"/>
    </row>
    <row r="199" customFormat="false" ht="15" hidden="false" customHeight="false" outlineLevel="0" collapsed="false">
      <c r="A199" s="22"/>
      <c r="B199" s="12"/>
      <c r="C199" s="12"/>
      <c r="D199" s="12"/>
      <c r="E199" s="12"/>
      <c r="F199" s="12"/>
      <c r="G199" s="12"/>
      <c r="H199" s="12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B3:B199" type="list">
      <formula1>'14_Equipa'!$A$3:$A$5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8" min="7" style="0" width="32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21" t="s">
        <v>94</v>
      </c>
      <c r="B1" s="21"/>
      <c r="C1" s="21"/>
      <c r="D1" s="21"/>
      <c r="E1" s="21"/>
      <c r="F1" s="21"/>
      <c r="G1" s="21"/>
      <c r="H1" s="21"/>
      <c r="I1" s="21"/>
    </row>
    <row r="2" customFormat="false" ht="27.75" hidden="false" customHeight="true" outlineLevel="0" collapsed="false">
      <c r="A2" s="11" t="s">
        <v>95</v>
      </c>
      <c r="B2" s="11" t="s">
        <v>19</v>
      </c>
      <c r="C2" s="11" t="s">
        <v>96</v>
      </c>
      <c r="D2" s="11" t="s">
        <v>97</v>
      </c>
      <c r="E2" s="11" t="s">
        <v>98</v>
      </c>
      <c r="F2" s="11" t="s">
        <v>99</v>
      </c>
      <c r="G2" s="11" t="s">
        <v>100</v>
      </c>
      <c r="H2" s="11" t="s">
        <v>101</v>
      </c>
      <c r="I2" s="11" t="s">
        <v>102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</row>
  </sheetData>
  <mergeCells count="1">
    <mergeCell ref="A1:I1"/>
  </mergeCells>
  <dataValidations count="1">
    <dataValidation allowBlank="true" errorStyle="stop" operator="between" showDropDown="false" showErrorMessage="false" showInputMessage="false" sqref="B3:B79" type="list">
      <formula1>'14_Equipa'!$A$3:$A$5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28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32"/>
  </cols>
  <sheetData>
    <row r="1" customFormat="false" ht="37.5" hidden="false" customHeight="true" outlineLevel="0" collapsed="false">
      <c r="A1" s="21" t="s">
        <v>103</v>
      </c>
      <c r="B1" s="21"/>
      <c r="C1" s="21"/>
      <c r="D1" s="21"/>
      <c r="E1" s="21"/>
      <c r="F1" s="21"/>
      <c r="G1" s="21"/>
    </row>
    <row r="2" customFormat="false" ht="27.75" hidden="false" customHeight="true" outlineLevel="0" collapsed="false">
      <c r="A2" s="11" t="s">
        <v>82</v>
      </c>
      <c r="B2" s="11" t="s">
        <v>104</v>
      </c>
      <c r="C2" s="11" t="s">
        <v>105</v>
      </c>
      <c r="D2" s="11" t="s">
        <v>106</v>
      </c>
      <c r="E2" s="11" t="s">
        <v>107</v>
      </c>
      <c r="F2" s="11" t="s">
        <v>108</v>
      </c>
      <c r="G2" s="11" t="s">
        <v>109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32"/>
  </cols>
  <sheetData>
    <row r="1" customFormat="false" ht="37.5" hidden="false" customHeight="true" outlineLevel="0" collapsed="false">
      <c r="A1" s="21" t="s">
        <v>110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7.75" hidden="false" customHeight="true" outlineLevel="0" collapsed="false">
      <c r="A2" s="11" t="s">
        <v>34</v>
      </c>
      <c r="B2" s="11" t="s">
        <v>111</v>
      </c>
      <c r="C2" s="11" t="s">
        <v>18</v>
      </c>
      <c r="D2" s="11" t="s">
        <v>19</v>
      </c>
      <c r="E2" s="11" t="s">
        <v>35</v>
      </c>
      <c r="F2" s="11" t="s">
        <v>112</v>
      </c>
      <c r="G2" s="11" t="s">
        <v>113</v>
      </c>
      <c r="H2" s="11" t="s">
        <v>114</v>
      </c>
      <c r="I2" s="11" t="s">
        <v>115</v>
      </c>
      <c r="J2" s="11" t="s">
        <v>116</v>
      </c>
      <c r="K2" s="11" t="s">
        <v>56</v>
      </c>
    </row>
    <row r="3" customFormat="false" ht="15" hidden="false" customHeight="false" outlineLevel="0" collapsed="false">
      <c r="A3" s="12"/>
      <c r="B3" s="24"/>
      <c r="C3" s="13"/>
      <c r="D3" s="13"/>
      <c r="E3" s="13"/>
      <c r="F3" s="13"/>
      <c r="G3" s="13"/>
      <c r="H3" s="13"/>
      <c r="I3" s="13"/>
      <c r="J3" s="13" t="str">
        <f aca="false">IF(OR(F3="Não feito",G3="Não feito",I3="Em risco"),"⚠ SIM","")</f>
        <v/>
      </c>
      <c r="K3" s="12"/>
    </row>
    <row r="4" customFormat="false" ht="15" hidden="false" customHeight="false" outlineLevel="0" collapsed="false">
      <c r="A4" s="12"/>
      <c r="B4" s="24"/>
      <c r="C4" s="13"/>
      <c r="D4" s="13"/>
      <c r="E4" s="13"/>
      <c r="F4" s="13"/>
      <c r="G4" s="13"/>
      <c r="H4" s="13"/>
      <c r="I4" s="13"/>
      <c r="J4" s="13" t="str">
        <f aca="false">IF(OR(F4="Não feito",G4="Não feito",I4="Em risco"),"⚠ SIM","")</f>
        <v/>
      </c>
      <c r="K4" s="12"/>
    </row>
    <row r="5" customFormat="false" ht="15" hidden="false" customHeight="false" outlineLevel="0" collapsed="false">
      <c r="A5" s="12"/>
      <c r="B5" s="24"/>
      <c r="C5" s="13"/>
      <c r="D5" s="13"/>
      <c r="E5" s="13"/>
      <c r="F5" s="13"/>
      <c r="G5" s="13"/>
      <c r="H5" s="13"/>
      <c r="I5" s="13"/>
      <c r="J5" s="13" t="str">
        <f aca="false">IF(OR(F5="Não feito",G5="Não feito",I5="Em risco"),"⚠ SIM","")</f>
        <v/>
      </c>
      <c r="K5" s="12"/>
    </row>
    <row r="6" customFormat="false" ht="15" hidden="false" customHeight="false" outlineLevel="0" collapsed="false">
      <c r="A6" s="12"/>
      <c r="B6" s="24"/>
      <c r="C6" s="13"/>
      <c r="D6" s="13"/>
      <c r="E6" s="13"/>
      <c r="F6" s="13"/>
      <c r="G6" s="13"/>
      <c r="H6" s="13"/>
      <c r="I6" s="13"/>
      <c r="J6" s="13" t="str">
        <f aca="false">IF(OR(F6="Não feito",G6="Não feito",I6="Em risco"),"⚠ SIM","")</f>
        <v/>
      </c>
      <c r="K6" s="12"/>
    </row>
    <row r="7" customFormat="false" ht="15" hidden="false" customHeight="false" outlineLevel="0" collapsed="false">
      <c r="A7" s="12"/>
      <c r="B7" s="24"/>
      <c r="C7" s="13"/>
      <c r="D7" s="13"/>
      <c r="E7" s="13"/>
      <c r="F7" s="13"/>
      <c r="G7" s="13"/>
      <c r="H7" s="13"/>
      <c r="I7" s="13"/>
      <c r="J7" s="13" t="str">
        <f aca="false">IF(OR(F7="Não feito",G7="Não feito",I7="Em risco"),"⚠ SIM","")</f>
        <v/>
      </c>
      <c r="K7" s="12"/>
    </row>
    <row r="8" customFormat="false" ht="15" hidden="false" customHeight="false" outlineLevel="0" collapsed="false">
      <c r="A8" s="12"/>
      <c r="B8" s="24"/>
      <c r="C8" s="13"/>
      <c r="D8" s="13"/>
      <c r="E8" s="13"/>
      <c r="F8" s="13"/>
      <c r="G8" s="13"/>
      <c r="H8" s="13"/>
      <c r="I8" s="13"/>
      <c r="J8" s="13" t="str">
        <f aca="false">IF(OR(F8="Não feito",G8="Não feito",I8="Em risco"),"⚠ SIM","")</f>
        <v/>
      </c>
      <c r="K8" s="12"/>
    </row>
    <row r="9" customFormat="false" ht="15" hidden="false" customHeight="false" outlineLevel="0" collapsed="false">
      <c r="A9" s="12"/>
      <c r="B9" s="24"/>
      <c r="C9" s="13"/>
      <c r="D9" s="13"/>
      <c r="E9" s="13"/>
      <c r="F9" s="13"/>
      <c r="G9" s="13"/>
      <c r="H9" s="13"/>
      <c r="I9" s="13"/>
      <c r="J9" s="13" t="str">
        <f aca="false">IF(OR(F9="Não feito",G9="Não feito",I9="Em risco"),"⚠ SIM","")</f>
        <v/>
      </c>
      <c r="K9" s="12"/>
    </row>
    <row r="10" customFormat="false" ht="15" hidden="false" customHeight="false" outlineLevel="0" collapsed="false">
      <c r="A10" s="12"/>
      <c r="B10" s="24"/>
      <c r="C10" s="13"/>
      <c r="D10" s="13"/>
      <c r="E10" s="13"/>
      <c r="F10" s="13"/>
      <c r="G10" s="13"/>
      <c r="H10" s="13"/>
      <c r="I10" s="13"/>
      <c r="J10" s="13" t="str">
        <f aca="false">IF(OR(F10="Não feito",G10="Não feito",I10="Em risco"),"⚠ SIM","")</f>
        <v/>
      </c>
      <c r="K10" s="12"/>
    </row>
    <row r="11" customFormat="false" ht="15" hidden="false" customHeight="false" outlineLevel="0" collapsed="false">
      <c r="A11" s="12"/>
      <c r="B11" s="24"/>
      <c r="C11" s="13"/>
      <c r="D11" s="13"/>
      <c r="E11" s="13"/>
      <c r="F11" s="13"/>
      <c r="G11" s="13"/>
      <c r="H11" s="13"/>
      <c r="I11" s="13"/>
      <c r="J11" s="13" t="str">
        <f aca="false">IF(OR(F11="Não feito",G11="Não feito",I11="Em risco"),"⚠ SIM","")</f>
        <v/>
      </c>
      <c r="K11" s="12"/>
    </row>
    <row r="12" customFormat="false" ht="15" hidden="false" customHeight="false" outlineLevel="0" collapsed="false">
      <c r="A12" s="12"/>
      <c r="B12" s="24"/>
      <c r="C12" s="13"/>
      <c r="D12" s="13"/>
      <c r="E12" s="13"/>
      <c r="F12" s="13"/>
      <c r="G12" s="13"/>
      <c r="H12" s="13"/>
      <c r="I12" s="13"/>
      <c r="J12" s="13" t="str">
        <f aca="false">IF(OR(F12="Não feito",G12="Não feito",I12="Em risco"),"⚠ SIM","")</f>
        <v/>
      </c>
      <c r="K12" s="12"/>
    </row>
    <row r="13" customFormat="false" ht="15" hidden="false" customHeight="false" outlineLevel="0" collapsed="false">
      <c r="A13" s="12"/>
      <c r="B13" s="24"/>
      <c r="C13" s="13"/>
      <c r="D13" s="13"/>
      <c r="E13" s="13"/>
      <c r="F13" s="13"/>
      <c r="G13" s="13"/>
      <c r="H13" s="13"/>
      <c r="I13" s="13"/>
      <c r="J13" s="13" t="str">
        <f aca="false">IF(OR(F13="Não feito",G13="Não feito",I13="Em risco"),"⚠ SIM","")</f>
        <v/>
      </c>
      <c r="K13" s="12"/>
    </row>
    <row r="14" customFormat="false" ht="15" hidden="false" customHeight="false" outlineLevel="0" collapsed="false">
      <c r="A14" s="12"/>
      <c r="B14" s="24"/>
      <c r="C14" s="13"/>
      <c r="D14" s="13"/>
      <c r="E14" s="13"/>
      <c r="F14" s="13"/>
      <c r="G14" s="13"/>
      <c r="H14" s="13"/>
      <c r="I14" s="13"/>
      <c r="J14" s="13" t="str">
        <f aca="false">IF(OR(F14="Não feito",G14="Não feito",I14="Em risco"),"⚠ SIM","")</f>
        <v/>
      </c>
      <c r="K14" s="12"/>
    </row>
    <row r="15" customFormat="false" ht="15" hidden="false" customHeight="false" outlineLevel="0" collapsed="false">
      <c r="A15" s="12"/>
      <c r="B15" s="24"/>
      <c r="C15" s="13"/>
      <c r="D15" s="13"/>
      <c r="E15" s="13"/>
      <c r="F15" s="13"/>
      <c r="G15" s="13"/>
      <c r="H15" s="13"/>
      <c r="I15" s="13"/>
      <c r="J15" s="13" t="str">
        <f aca="false">IF(OR(F15="Não feito",G15="Não feito",I15="Em risco"),"⚠ SIM","")</f>
        <v/>
      </c>
      <c r="K15" s="12"/>
    </row>
    <row r="16" customFormat="false" ht="15" hidden="false" customHeight="false" outlineLevel="0" collapsed="false">
      <c r="A16" s="12"/>
      <c r="B16" s="24"/>
      <c r="C16" s="13"/>
      <c r="D16" s="13"/>
      <c r="E16" s="13"/>
      <c r="F16" s="13"/>
      <c r="G16" s="13"/>
      <c r="H16" s="13"/>
      <c r="I16" s="13"/>
      <c r="J16" s="13" t="str">
        <f aca="false">IF(OR(F16="Não feito",G16="Não feito",I16="Em risco"),"⚠ SIM","")</f>
        <v/>
      </c>
      <c r="K16" s="12"/>
    </row>
    <row r="17" customFormat="false" ht="15" hidden="false" customHeight="false" outlineLevel="0" collapsed="false">
      <c r="A17" s="12"/>
      <c r="B17" s="24"/>
      <c r="C17" s="13"/>
      <c r="D17" s="13"/>
      <c r="E17" s="13"/>
      <c r="F17" s="13"/>
      <c r="G17" s="13"/>
      <c r="H17" s="13"/>
      <c r="I17" s="13"/>
      <c r="J17" s="13" t="str">
        <f aca="false">IF(OR(F17="Não feito",G17="Não feito",I17="Em risco"),"⚠ SIM","")</f>
        <v/>
      </c>
      <c r="K17" s="12"/>
    </row>
    <row r="18" customFormat="false" ht="15" hidden="false" customHeight="false" outlineLevel="0" collapsed="false">
      <c r="A18" s="12"/>
      <c r="B18" s="24"/>
      <c r="C18" s="13"/>
      <c r="D18" s="13"/>
      <c r="E18" s="13"/>
      <c r="F18" s="13"/>
      <c r="G18" s="13"/>
      <c r="H18" s="13"/>
      <c r="I18" s="13"/>
      <c r="J18" s="13" t="str">
        <f aca="false">IF(OR(F18="Não feito",G18="Não feito",I18="Em risco"),"⚠ SIM","")</f>
        <v/>
      </c>
      <c r="K18" s="12"/>
    </row>
    <row r="19" customFormat="false" ht="15" hidden="false" customHeight="false" outlineLevel="0" collapsed="false">
      <c r="A19" s="12"/>
      <c r="B19" s="24"/>
      <c r="C19" s="13"/>
      <c r="D19" s="13"/>
      <c r="E19" s="13"/>
      <c r="F19" s="13"/>
      <c r="G19" s="13"/>
      <c r="H19" s="13"/>
      <c r="I19" s="13"/>
      <c r="J19" s="13" t="str">
        <f aca="false">IF(OR(F19="Não feito",G19="Não feito",I19="Em risco"),"⚠ SIM","")</f>
        <v/>
      </c>
      <c r="K19" s="12"/>
    </row>
    <row r="20" customFormat="false" ht="15" hidden="false" customHeight="false" outlineLevel="0" collapsed="false">
      <c r="A20" s="12"/>
      <c r="B20" s="24"/>
      <c r="C20" s="13"/>
      <c r="D20" s="13"/>
      <c r="E20" s="13"/>
      <c r="F20" s="13"/>
      <c r="G20" s="13"/>
      <c r="H20" s="13"/>
      <c r="I20" s="13"/>
      <c r="J20" s="13" t="str">
        <f aca="false">IF(OR(F20="Não feito",G20="Não feito",I20="Em risco"),"⚠ SIM","")</f>
        <v/>
      </c>
      <c r="K20" s="12"/>
    </row>
    <row r="21" customFormat="false" ht="15" hidden="false" customHeight="false" outlineLevel="0" collapsed="false">
      <c r="A21" s="12"/>
      <c r="B21" s="24"/>
      <c r="C21" s="13"/>
      <c r="D21" s="13"/>
      <c r="E21" s="13"/>
      <c r="F21" s="13"/>
      <c r="G21" s="13"/>
      <c r="H21" s="13"/>
      <c r="I21" s="13"/>
      <c r="J21" s="13" t="str">
        <f aca="false">IF(OR(F21="Não feito",G21="Não feito",I21="Em risco"),"⚠ SIM","")</f>
        <v/>
      </c>
      <c r="K21" s="12"/>
    </row>
    <row r="22" customFormat="false" ht="15" hidden="false" customHeight="false" outlineLevel="0" collapsed="false">
      <c r="A22" s="12"/>
      <c r="B22" s="24"/>
      <c r="C22" s="13"/>
      <c r="D22" s="13"/>
      <c r="E22" s="13"/>
      <c r="F22" s="13"/>
      <c r="G22" s="13"/>
      <c r="H22" s="13"/>
      <c r="I22" s="13"/>
      <c r="J22" s="13" t="str">
        <f aca="false">IF(OR(F22="Não feito",G22="Não feito",I22="Em risco"),"⚠ SIM","")</f>
        <v/>
      </c>
      <c r="K22" s="12"/>
    </row>
    <row r="23" customFormat="false" ht="15" hidden="false" customHeight="false" outlineLevel="0" collapsed="false">
      <c r="A23" s="12"/>
      <c r="B23" s="24"/>
      <c r="C23" s="13"/>
      <c r="D23" s="13"/>
      <c r="E23" s="13"/>
      <c r="F23" s="13"/>
      <c r="G23" s="13"/>
      <c r="H23" s="13"/>
      <c r="I23" s="13"/>
      <c r="J23" s="13" t="str">
        <f aca="false">IF(OR(F23="Não feito",G23="Não feito",I23="Em risco"),"⚠ SIM","")</f>
        <v/>
      </c>
      <c r="K23" s="12"/>
    </row>
    <row r="24" customFormat="false" ht="15" hidden="false" customHeight="false" outlineLevel="0" collapsed="false">
      <c r="A24" s="12"/>
      <c r="B24" s="24"/>
      <c r="C24" s="13"/>
      <c r="D24" s="13"/>
      <c r="E24" s="13"/>
      <c r="F24" s="13"/>
      <c r="G24" s="13"/>
      <c r="H24" s="13"/>
      <c r="I24" s="13"/>
      <c r="J24" s="13" t="str">
        <f aca="false">IF(OR(F24="Não feito",G24="Não feito",I24="Em risco"),"⚠ SIM","")</f>
        <v/>
      </c>
      <c r="K24" s="12"/>
    </row>
    <row r="25" customFormat="false" ht="15" hidden="false" customHeight="false" outlineLevel="0" collapsed="false">
      <c r="A25" s="12"/>
      <c r="B25" s="24"/>
      <c r="C25" s="13"/>
      <c r="D25" s="13"/>
      <c r="E25" s="13"/>
      <c r="F25" s="13"/>
      <c r="G25" s="13"/>
      <c r="H25" s="13"/>
      <c r="I25" s="13"/>
      <c r="J25" s="13" t="str">
        <f aca="false">IF(OR(F25="Não feito",G25="Não feito",I25="Em risco"),"⚠ SIM","")</f>
        <v/>
      </c>
      <c r="K25" s="12"/>
    </row>
    <row r="26" customFormat="false" ht="15" hidden="false" customHeight="false" outlineLevel="0" collapsed="false">
      <c r="A26" s="12"/>
      <c r="B26" s="24"/>
      <c r="C26" s="13"/>
      <c r="D26" s="13"/>
      <c r="E26" s="13"/>
      <c r="F26" s="13"/>
      <c r="G26" s="13"/>
      <c r="H26" s="13"/>
      <c r="I26" s="13"/>
      <c r="J26" s="13" t="str">
        <f aca="false">IF(OR(F26="Não feito",G26="Não feito",I26="Em risco"),"⚠ SIM","")</f>
        <v/>
      </c>
      <c r="K26" s="12"/>
    </row>
    <row r="27" customFormat="false" ht="15" hidden="false" customHeight="false" outlineLevel="0" collapsed="false">
      <c r="A27" s="12"/>
      <c r="B27" s="24"/>
      <c r="C27" s="13"/>
      <c r="D27" s="13"/>
      <c r="E27" s="13"/>
      <c r="F27" s="13"/>
      <c r="G27" s="13"/>
      <c r="H27" s="13"/>
      <c r="I27" s="13"/>
      <c r="J27" s="13" t="str">
        <f aca="false">IF(OR(F27="Não feito",G27="Não feito",I27="Em risco"),"⚠ SIM","")</f>
        <v/>
      </c>
      <c r="K27" s="12"/>
    </row>
    <row r="28" customFormat="false" ht="15" hidden="false" customHeight="false" outlineLevel="0" collapsed="false">
      <c r="A28" s="12"/>
      <c r="B28" s="24"/>
      <c r="C28" s="13"/>
      <c r="D28" s="13"/>
      <c r="E28" s="13"/>
      <c r="F28" s="13"/>
      <c r="G28" s="13"/>
      <c r="H28" s="13"/>
      <c r="I28" s="13"/>
      <c r="J28" s="13" t="str">
        <f aca="false">IF(OR(F28="Não feito",G28="Não feito",I28="Em risco"),"⚠ SIM","")</f>
        <v/>
      </c>
      <c r="K28" s="12"/>
    </row>
    <row r="29" customFormat="false" ht="15" hidden="false" customHeight="false" outlineLevel="0" collapsed="false">
      <c r="A29" s="12"/>
      <c r="B29" s="24"/>
      <c r="C29" s="13"/>
      <c r="D29" s="13"/>
      <c r="E29" s="13"/>
      <c r="F29" s="13"/>
      <c r="G29" s="13"/>
      <c r="H29" s="13"/>
      <c r="I29" s="13"/>
      <c r="J29" s="13" t="str">
        <f aca="false">IF(OR(F29="Não feito",G29="Não feito",I29="Em risco"),"⚠ SIM","")</f>
        <v/>
      </c>
      <c r="K29" s="12"/>
    </row>
    <row r="30" customFormat="false" ht="15" hidden="false" customHeight="false" outlineLevel="0" collapsed="false">
      <c r="A30" s="12"/>
      <c r="B30" s="24"/>
      <c r="C30" s="13"/>
      <c r="D30" s="13"/>
      <c r="E30" s="13"/>
      <c r="F30" s="13"/>
      <c r="G30" s="13"/>
      <c r="H30" s="13"/>
      <c r="I30" s="13"/>
      <c r="J30" s="13" t="str">
        <f aca="false">IF(OR(F30="Não feito",G30="Não feito",I30="Em risco"),"⚠ SIM","")</f>
        <v/>
      </c>
      <c r="K30" s="12"/>
    </row>
    <row r="31" customFormat="false" ht="15" hidden="false" customHeight="false" outlineLevel="0" collapsed="false">
      <c r="A31" s="12"/>
      <c r="B31" s="24"/>
      <c r="C31" s="13"/>
      <c r="D31" s="13"/>
      <c r="E31" s="13"/>
      <c r="F31" s="13"/>
      <c r="G31" s="13"/>
      <c r="H31" s="13"/>
      <c r="I31" s="13"/>
      <c r="J31" s="13" t="str">
        <f aca="false">IF(OR(F31="Não feito",G31="Não feito",I31="Em risco"),"⚠ SIM","")</f>
        <v/>
      </c>
      <c r="K31" s="12"/>
    </row>
    <row r="32" customFormat="false" ht="15" hidden="false" customHeight="false" outlineLevel="0" collapsed="false">
      <c r="A32" s="12"/>
      <c r="B32" s="24"/>
      <c r="C32" s="13"/>
      <c r="D32" s="13"/>
      <c r="E32" s="13"/>
      <c r="F32" s="13"/>
      <c r="G32" s="13"/>
      <c r="H32" s="13"/>
      <c r="I32" s="13"/>
      <c r="J32" s="13" t="str">
        <f aca="false">IF(OR(F32="Não feito",G32="Não feito",I32="Em risco"),"⚠ SIM","")</f>
        <v/>
      </c>
      <c r="K32" s="12"/>
    </row>
    <row r="33" customFormat="false" ht="15" hidden="false" customHeight="false" outlineLevel="0" collapsed="false">
      <c r="A33" s="12"/>
      <c r="B33" s="24"/>
      <c r="C33" s="13"/>
      <c r="D33" s="13"/>
      <c r="E33" s="13"/>
      <c r="F33" s="13"/>
      <c r="G33" s="13"/>
      <c r="H33" s="13"/>
      <c r="I33" s="13"/>
      <c r="J33" s="13" t="str">
        <f aca="false">IF(OR(F33="Não feito",G33="Não feito",I33="Em risco"),"⚠ SIM","")</f>
        <v/>
      </c>
      <c r="K33" s="12"/>
    </row>
    <row r="34" customFormat="false" ht="15" hidden="false" customHeight="false" outlineLevel="0" collapsed="false">
      <c r="A34" s="12"/>
      <c r="B34" s="24"/>
      <c r="C34" s="13"/>
      <c r="D34" s="13"/>
      <c r="E34" s="13"/>
      <c r="F34" s="13"/>
      <c r="G34" s="13"/>
      <c r="H34" s="13"/>
      <c r="I34" s="13"/>
      <c r="J34" s="13" t="str">
        <f aca="false">IF(OR(F34="Não feito",G34="Não feito",I34="Em risco"),"⚠ SIM","")</f>
        <v/>
      </c>
      <c r="K34" s="12"/>
    </row>
    <row r="35" customFormat="false" ht="15" hidden="false" customHeight="false" outlineLevel="0" collapsed="false">
      <c r="A35" s="12"/>
      <c r="B35" s="24"/>
      <c r="C35" s="13"/>
      <c r="D35" s="13"/>
      <c r="E35" s="13"/>
      <c r="F35" s="13"/>
      <c r="G35" s="13"/>
      <c r="H35" s="13"/>
      <c r="I35" s="13"/>
      <c r="J35" s="13" t="str">
        <f aca="false">IF(OR(F35="Não feito",G35="Não feito",I35="Em risco"),"⚠ SIM","")</f>
        <v/>
      </c>
      <c r="K35" s="12"/>
    </row>
    <row r="36" customFormat="false" ht="15" hidden="false" customHeight="false" outlineLevel="0" collapsed="false">
      <c r="A36" s="12"/>
      <c r="B36" s="24"/>
      <c r="C36" s="13"/>
      <c r="D36" s="13"/>
      <c r="E36" s="13"/>
      <c r="F36" s="13"/>
      <c r="G36" s="13"/>
      <c r="H36" s="13"/>
      <c r="I36" s="13"/>
      <c r="J36" s="13" t="str">
        <f aca="false">IF(OR(F36="Não feito",G36="Não feito",I36="Em risco"),"⚠ SIM","")</f>
        <v/>
      </c>
      <c r="K36" s="12"/>
    </row>
    <row r="37" customFormat="false" ht="15" hidden="false" customHeight="false" outlineLevel="0" collapsed="false">
      <c r="A37" s="12"/>
      <c r="B37" s="24"/>
      <c r="C37" s="13"/>
      <c r="D37" s="13"/>
      <c r="E37" s="13"/>
      <c r="F37" s="13"/>
      <c r="G37" s="13"/>
      <c r="H37" s="13"/>
      <c r="I37" s="13"/>
      <c r="J37" s="13" t="str">
        <f aca="false">IF(OR(F37="Não feito",G37="Não feito",I37="Em risco"),"⚠ SIM","")</f>
        <v/>
      </c>
      <c r="K37" s="12"/>
    </row>
    <row r="38" customFormat="false" ht="15" hidden="false" customHeight="false" outlineLevel="0" collapsed="false">
      <c r="A38" s="12"/>
      <c r="B38" s="24"/>
      <c r="C38" s="13"/>
      <c r="D38" s="13"/>
      <c r="E38" s="13"/>
      <c r="F38" s="13"/>
      <c r="G38" s="13"/>
      <c r="H38" s="13"/>
      <c r="I38" s="13"/>
      <c r="J38" s="13" t="str">
        <f aca="false">IF(OR(F38="Não feito",G38="Não feito",I38="Em risco"),"⚠ SIM","")</f>
        <v/>
      </c>
      <c r="K38" s="12"/>
    </row>
    <row r="39" customFormat="false" ht="15" hidden="false" customHeight="false" outlineLevel="0" collapsed="false">
      <c r="A39" s="12"/>
      <c r="B39" s="24"/>
      <c r="C39" s="13"/>
      <c r="D39" s="13"/>
      <c r="E39" s="13"/>
      <c r="F39" s="13"/>
      <c r="G39" s="13"/>
      <c r="H39" s="13"/>
      <c r="I39" s="13"/>
      <c r="J39" s="13" t="str">
        <f aca="false">IF(OR(F39="Não feito",G39="Não feito",I39="Em risco"),"⚠ SIM","")</f>
        <v/>
      </c>
      <c r="K39" s="12"/>
    </row>
    <row r="40" customFormat="false" ht="15" hidden="false" customHeight="false" outlineLevel="0" collapsed="false">
      <c r="A40" s="12"/>
      <c r="B40" s="24"/>
      <c r="C40" s="13"/>
      <c r="D40" s="13"/>
      <c r="E40" s="13"/>
      <c r="F40" s="13"/>
      <c r="G40" s="13"/>
      <c r="H40" s="13"/>
      <c r="I40" s="13"/>
      <c r="J40" s="13" t="str">
        <f aca="false">IF(OR(F40="Não feito",G40="Não feito",I40="Em risco"),"⚠ SIM","")</f>
        <v/>
      </c>
      <c r="K40" s="12"/>
    </row>
    <row r="41" customFormat="false" ht="15" hidden="false" customHeight="false" outlineLevel="0" collapsed="false">
      <c r="A41" s="12"/>
      <c r="B41" s="24"/>
      <c r="C41" s="13"/>
      <c r="D41" s="13"/>
      <c r="E41" s="13"/>
      <c r="F41" s="13"/>
      <c r="G41" s="13"/>
      <c r="H41" s="13"/>
      <c r="I41" s="13"/>
      <c r="J41" s="13" t="str">
        <f aca="false">IF(OR(F41="Não feito",G41="Não feito",I41="Em risco"),"⚠ SIM","")</f>
        <v/>
      </c>
      <c r="K41" s="12"/>
    </row>
    <row r="42" customFormat="false" ht="15" hidden="false" customHeight="false" outlineLevel="0" collapsed="false">
      <c r="A42" s="12"/>
      <c r="B42" s="24"/>
      <c r="C42" s="13"/>
      <c r="D42" s="13"/>
      <c r="E42" s="13"/>
      <c r="F42" s="13"/>
      <c r="G42" s="13"/>
      <c r="H42" s="13"/>
      <c r="I42" s="13"/>
      <c r="J42" s="13" t="str">
        <f aca="false">IF(OR(F42="Não feito",G42="Não feito",I42="Em risco"),"⚠ SIM","")</f>
        <v/>
      </c>
      <c r="K42" s="12"/>
    </row>
    <row r="43" customFormat="false" ht="15" hidden="false" customHeight="false" outlineLevel="0" collapsed="false">
      <c r="A43" s="12"/>
      <c r="B43" s="24"/>
      <c r="C43" s="13"/>
      <c r="D43" s="13"/>
      <c r="E43" s="13"/>
      <c r="F43" s="13"/>
      <c r="G43" s="13"/>
      <c r="H43" s="13"/>
      <c r="I43" s="13"/>
      <c r="J43" s="13" t="str">
        <f aca="false">IF(OR(F43="Não feito",G43="Não feito",I43="Em risco"),"⚠ SIM","")</f>
        <v/>
      </c>
      <c r="K43" s="12"/>
    </row>
    <row r="44" customFormat="false" ht="15" hidden="false" customHeight="false" outlineLevel="0" collapsed="false">
      <c r="A44" s="12"/>
      <c r="B44" s="24"/>
      <c r="C44" s="13"/>
      <c r="D44" s="13"/>
      <c r="E44" s="13"/>
      <c r="F44" s="13"/>
      <c r="G44" s="13"/>
      <c r="H44" s="13"/>
      <c r="I44" s="13"/>
      <c r="J44" s="13" t="str">
        <f aca="false">IF(OR(F44="Não feito",G44="Não feito",I44="Em risco"),"⚠ SIM","")</f>
        <v/>
      </c>
      <c r="K44" s="12"/>
    </row>
    <row r="45" customFormat="false" ht="15" hidden="false" customHeight="false" outlineLevel="0" collapsed="false">
      <c r="A45" s="12"/>
      <c r="B45" s="24"/>
      <c r="C45" s="13"/>
      <c r="D45" s="13"/>
      <c r="E45" s="13"/>
      <c r="F45" s="13"/>
      <c r="G45" s="13"/>
      <c r="H45" s="13"/>
      <c r="I45" s="13"/>
      <c r="J45" s="13" t="str">
        <f aca="false">IF(OR(F45="Não feito",G45="Não feito",I45="Em risco"),"⚠ SIM","")</f>
        <v/>
      </c>
      <c r="K45" s="12"/>
    </row>
    <row r="46" customFormat="false" ht="15" hidden="false" customHeight="false" outlineLevel="0" collapsed="false">
      <c r="A46" s="12"/>
      <c r="B46" s="24"/>
      <c r="C46" s="13"/>
      <c r="D46" s="13"/>
      <c r="E46" s="13"/>
      <c r="F46" s="13"/>
      <c r="G46" s="13"/>
      <c r="H46" s="13"/>
      <c r="I46" s="13"/>
      <c r="J46" s="13" t="str">
        <f aca="false">IF(OR(F46="Não feito",G46="Não feito",I46="Em risco"),"⚠ SIM","")</f>
        <v/>
      </c>
      <c r="K46" s="12"/>
    </row>
    <row r="47" customFormat="false" ht="15" hidden="false" customHeight="false" outlineLevel="0" collapsed="false">
      <c r="A47" s="12"/>
      <c r="B47" s="24"/>
      <c r="C47" s="13"/>
      <c r="D47" s="13"/>
      <c r="E47" s="13"/>
      <c r="F47" s="13"/>
      <c r="G47" s="13"/>
      <c r="H47" s="13"/>
      <c r="I47" s="13"/>
      <c r="J47" s="13" t="str">
        <f aca="false">IF(OR(F47="Não feito",G47="Não feito",I47="Em risco"),"⚠ SIM","")</f>
        <v/>
      </c>
      <c r="K47" s="12"/>
    </row>
    <row r="48" customFormat="false" ht="15" hidden="false" customHeight="false" outlineLevel="0" collapsed="false">
      <c r="A48" s="12"/>
      <c r="B48" s="24"/>
      <c r="C48" s="13"/>
      <c r="D48" s="13"/>
      <c r="E48" s="13"/>
      <c r="F48" s="13"/>
      <c r="G48" s="13"/>
      <c r="H48" s="13"/>
      <c r="I48" s="13"/>
      <c r="J48" s="13" t="str">
        <f aca="false">IF(OR(F48="Não feito",G48="Não feito",I48="Em risco"),"⚠ SIM","")</f>
        <v/>
      </c>
      <c r="K48" s="12"/>
    </row>
    <row r="49" customFormat="false" ht="15" hidden="false" customHeight="false" outlineLevel="0" collapsed="false">
      <c r="A49" s="12"/>
      <c r="B49" s="24"/>
      <c r="C49" s="13"/>
      <c r="D49" s="13"/>
      <c r="E49" s="13"/>
      <c r="F49" s="13"/>
      <c r="G49" s="13"/>
      <c r="H49" s="13"/>
      <c r="I49" s="13"/>
      <c r="J49" s="13" t="str">
        <f aca="false">IF(OR(F49="Não feito",G49="Não feito",I49="Em risco"),"⚠ SIM","")</f>
        <v/>
      </c>
      <c r="K49" s="12"/>
    </row>
    <row r="50" customFormat="false" ht="15" hidden="false" customHeight="false" outlineLevel="0" collapsed="false">
      <c r="A50" s="12"/>
      <c r="B50" s="24"/>
      <c r="C50" s="13"/>
      <c r="D50" s="13"/>
      <c r="E50" s="13"/>
      <c r="F50" s="13"/>
      <c r="G50" s="13"/>
      <c r="H50" s="13"/>
      <c r="I50" s="13"/>
      <c r="J50" s="13" t="str">
        <f aca="false">IF(OR(F50="Não feito",G50="Não feito",I50="Em risco"),"⚠ SIM","")</f>
        <v/>
      </c>
      <c r="K50" s="12"/>
    </row>
    <row r="51" customFormat="false" ht="15" hidden="false" customHeight="false" outlineLevel="0" collapsed="false">
      <c r="A51" s="12"/>
      <c r="B51" s="24"/>
      <c r="C51" s="13"/>
      <c r="D51" s="13"/>
      <c r="E51" s="13"/>
      <c r="F51" s="13"/>
      <c r="G51" s="13"/>
      <c r="H51" s="13"/>
      <c r="I51" s="13"/>
      <c r="J51" s="13" t="str">
        <f aca="false">IF(OR(F51="Não feito",G51="Não feito",I51="Em risco"),"⚠ SIM","")</f>
        <v/>
      </c>
      <c r="K51" s="12"/>
    </row>
    <row r="52" customFormat="false" ht="15" hidden="false" customHeight="false" outlineLevel="0" collapsed="false">
      <c r="A52" s="12"/>
      <c r="B52" s="24"/>
      <c r="C52" s="13"/>
      <c r="D52" s="13"/>
      <c r="E52" s="13"/>
      <c r="F52" s="13"/>
      <c r="G52" s="13"/>
      <c r="H52" s="13"/>
      <c r="I52" s="13"/>
      <c r="J52" s="13" t="str">
        <f aca="false">IF(OR(F52="Não feito",G52="Não feito",I52="Em risco"),"⚠ SIM","")</f>
        <v/>
      </c>
      <c r="K52" s="12"/>
    </row>
    <row r="53" customFormat="false" ht="15" hidden="false" customHeight="false" outlineLevel="0" collapsed="false">
      <c r="A53" s="12"/>
      <c r="B53" s="24"/>
      <c r="C53" s="13"/>
      <c r="D53" s="13"/>
      <c r="E53" s="13"/>
      <c r="F53" s="13"/>
      <c r="G53" s="13"/>
      <c r="H53" s="13"/>
      <c r="I53" s="13"/>
      <c r="J53" s="13" t="str">
        <f aca="false">IF(OR(F53="Não feito",G53="Não feito",I53="Em risco"),"⚠ SIM","")</f>
        <v/>
      </c>
      <c r="K53" s="12"/>
    </row>
    <row r="54" customFormat="false" ht="15" hidden="false" customHeight="false" outlineLevel="0" collapsed="false">
      <c r="A54" s="12"/>
      <c r="B54" s="24"/>
      <c r="C54" s="13"/>
      <c r="D54" s="13"/>
      <c r="E54" s="13"/>
      <c r="F54" s="13"/>
      <c r="G54" s="13"/>
      <c r="H54" s="13"/>
      <c r="I54" s="13"/>
      <c r="J54" s="13" t="str">
        <f aca="false">IF(OR(F54="Não feito",G54="Não feito",I54="Em risco"),"⚠ SIM","")</f>
        <v/>
      </c>
      <c r="K54" s="12"/>
    </row>
    <row r="55" customFormat="false" ht="15" hidden="false" customHeight="false" outlineLevel="0" collapsed="false">
      <c r="A55" s="12"/>
      <c r="B55" s="24"/>
      <c r="C55" s="13"/>
      <c r="D55" s="13"/>
      <c r="E55" s="13"/>
      <c r="F55" s="13"/>
      <c r="G55" s="13"/>
      <c r="H55" s="13"/>
      <c r="I55" s="13"/>
      <c r="J55" s="13" t="str">
        <f aca="false">IF(OR(F55="Não feito",G55="Não feito",I55="Em risco"),"⚠ SIM","")</f>
        <v/>
      </c>
      <c r="K55" s="12"/>
    </row>
    <row r="56" customFormat="false" ht="15" hidden="false" customHeight="false" outlineLevel="0" collapsed="false">
      <c r="A56" s="12"/>
      <c r="B56" s="24"/>
      <c r="C56" s="13"/>
      <c r="D56" s="13"/>
      <c r="E56" s="13"/>
      <c r="F56" s="13"/>
      <c r="G56" s="13"/>
      <c r="H56" s="13"/>
      <c r="I56" s="13"/>
      <c r="J56" s="13" t="str">
        <f aca="false">IF(OR(F56="Não feito",G56="Não feito",I56="Em risco"),"⚠ SIM","")</f>
        <v/>
      </c>
      <c r="K56" s="12"/>
    </row>
    <row r="57" customFormat="false" ht="15" hidden="false" customHeight="false" outlineLevel="0" collapsed="false">
      <c r="A57" s="12"/>
      <c r="B57" s="24"/>
      <c r="C57" s="13"/>
      <c r="D57" s="13"/>
      <c r="E57" s="13"/>
      <c r="F57" s="13"/>
      <c r="G57" s="13"/>
      <c r="H57" s="13"/>
      <c r="I57" s="13"/>
      <c r="J57" s="13" t="str">
        <f aca="false">IF(OR(F57="Não feito",G57="Não feito",I57="Em risco"),"⚠ SIM","")</f>
        <v/>
      </c>
      <c r="K57" s="12"/>
    </row>
    <row r="58" customFormat="false" ht="15" hidden="false" customHeight="false" outlineLevel="0" collapsed="false">
      <c r="A58" s="12"/>
      <c r="B58" s="24"/>
      <c r="C58" s="13"/>
      <c r="D58" s="13"/>
      <c r="E58" s="13"/>
      <c r="F58" s="13"/>
      <c r="G58" s="13"/>
      <c r="H58" s="13"/>
      <c r="I58" s="13"/>
      <c r="J58" s="13" t="str">
        <f aca="false">IF(OR(F58="Não feito",G58="Não feito",I58="Em risco"),"⚠ SIM","")</f>
        <v/>
      </c>
      <c r="K58" s="12"/>
    </row>
    <row r="59" customFormat="false" ht="15" hidden="false" customHeight="false" outlineLevel="0" collapsed="false">
      <c r="A59" s="12"/>
      <c r="B59" s="24"/>
      <c r="C59" s="13"/>
      <c r="D59" s="13"/>
      <c r="E59" s="13"/>
      <c r="F59" s="13"/>
      <c r="G59" s="13"/>
      <c r="H59" s="13"/>
      <c r="I59" s="13"/>
      <c r="J59" s="13" t="str">
        <f aca="false">IF(OR(F59="Não feito",G59="Não feito",I59="Em risco"),"⚠ SIM","")</f>
        <v/>
      </c>
      <c r="K59" s="12"/>
    </row>
    <row r="60" customFormat="false" ht="15" hidden="false" customHeight="false" outlineLevel="0" collapsed="false">
      <c r="A60" s="12"/>
      <c r="B60" s="24"/>
      <c r="C60" s="13"/>
      <c r="D60" s="13"/>
      <c r="E60" s="13"/>
      <c r="F60" s="13"/>
      <c r="G60" s="13"/>
      <c r="H60" s="13"/>
      <c r="I60" s="13"/>
      <c r="J60" s="13" t="str">
        <f aca="false">IF(OR(F60="Não feito",G60="Não feito",I60="Em risco"),"⚠ SIM","")</f>
        <v/>
      </c>
      <c r="K60" s="12"/>
    </row>
    <row r="61" customFormat="false" ht="15" hidden="false" customHeight="false" outlineLevel="0" collapsed="false">
      <c r="A61" s="12"/>
      <c r="B61" s="24"/>
      <c r="C61" s="13"/>
      <c r="D61" s="13"/>
      <c r="E61" s="13"/>
      <c r="F61" s="13"/>
      <c r="G61" s="13"/>
      <c r="H61" s="13"/>
      <c r="I61" s="13"/>
      <c r="J61" s="13" t="str">
        <f aca="false">IF(OR(F61="Não feito",G61="Não feito",I61="Em risco"),"⚠ SIM","")</f>
        <v/>
      </c>
      <c r="K61" s="12"/>
    </row>
    <row r="62" customFormat="false" ht="15" hidden="false" customHeight="false" outlineLevel="0" collapsed="false">
      <c r="A62" s="12"/>
      <c r="B62" s="24"/>
      <c r="C62" s="13"/>
      <c r="D62" s="13"/>
      <c r="E62" s="13"/>
      <c r="F62" s="13"/>
      <c r="G62" s="13"/>
      <c r="H62" s="13"/>
      <c r="I62" s="13"/>
      <c r="J62" s="13" t="str">
        <f aca="false">IF(OR(F62="Não feito",G62="Não feito",I62="Em risco"),"⚠ SIM","")</f>
        <v/>
      </c>
      <c r="K62" s="12"/>
    </row>
    <row r="63" customFormat="false" ht="15" hidden="false" customHeight="false" outlineLevel="0" collapsed="false">
      <c r="A63" s="12"/>
      <c r="B63" s="24"/>
      <c r="C63" s="13"/>
      <c r="D63" s="13"/>
      <c r="E63" s="13"/>
      <c r="F63" s="13"/>
      <c r="G63" s="13"/>
      <c r="H63" s="13"/>
      <c r="I63" s="13"/>
      <c r="J63" s="13" t="str">
        <f aca="false">IF(OR(F63="Não feito",G63="Não feito",I63="Em risco"),"⚠ SIM","")</f>
        <v/>
      </c>
      <c r="K63" s="12"/>
    </row>
    <row r="64" customFormat="false" ht="15" hidden="false" customHeight="false" outlineLevel="0" collapsed="false">
      <c r="A64" s="12"/>
      <c r="B64" s="24"/>
      <c r="C64" s="13"/>
      <c r="D64" s="13"/>
      <c r="E64" s="13"/>
      <c r="F64" s="13"/>
      <c r="G64" s="13"/>
      <c r="H64" s="13"/>
      <c r="I64" s="13"/>
      <c r="J64" s="13" t="str">
        <f aca="false">IF(OR(F64="Não feito",G64="Não feito",I64="Em risco"),"⚠ SIM","")</f>
        <v/>
      </c>
      <c r="K64" s="12"/>
    </row>
    <row r="65" customFormat="false" ht="15" hidden="false" customHeight="false" outlineLevel="0" collapsed="false">
      <c r="A65" s="12"/>
      <c r="B65" s="24"/>
      <c r="C65" s="13"/>
      <c r="D65" s="13"/>
      <c r="E65" s="13"/>
      <c r="F65" s="13"/>
      <c r="G65" s="13"/>
      <c r="H65" s="13"/>
      <c r="I65" s="13"/>
      <c r="J65" s="13" t="str">
        <f aca="false">IF(OR(F65="Não feito",G65="Não feito",I65="Em risco"),"⚠ SIM","")</f>
        <v/>
      </c>
      <c r="K65" s="12"/>
    </row>
    <row r="66" customFormat="false" ht="15" hidden="false" customHeight="false" outlineLevel="0" collapsed="false">
      <c r="A66" s="12"/>
      <c r="B66" s="24"/>
      <c r="C66" s="13"/>
      <c r="D66" s="13"/>
      <c r="E66" s="13"/>
      <c r="F66" s="13"/>
      <c r="G66" s="13"/>
      <c r="H66" s="13"/>
      <c r="I66" s="13"/>
      <c r="J66" s="13" t="str">
        <f aca="false">IF(OR(F66="Não feito",G66="Não feito",I66="Em risco"),"⚠ SIM","")</f>
        <v/>
      </c>
      <c r="K66" s="12"/>
    </row>
    <row r="67" customFormat="false" ht="15" hidden="false" customHeight="false" outlineLevel="0" collapsed="false">
      <c r="A67" s="12"/>
      <c r="B67" s="24"/>
      <c r="C67" s="13"/>
      <c r="D67" s="13"/>
      <c r="E67" s="13"/>
      <c r="F67" s="13"/>
      <c r="G67" s="13"/>
      <c r="H67" s="13"/>
      <c r="I67" s="13"/>
      <c r="J67" s="13" t="str">
        <f aca="false">IF(OR(F67="Não feito",G67="Não feito",I67="Em risco"),"⚠ SIM","")</f>
        <v/>
      </c>
      <c r="K67" s="12"/>
    </row>
    <row r="68" customFormat="false" ht="15" hidden="false" customHeight="false" outlineLevel="0" collapsed="false">
      <c r="A68" s="12"/>
      <c r="B68" s="24"/>
      <c r="C68" s="13"/>
      <c r="D68" s="13"/>
      <c r="E68" s="13"/>
      <c r="F68" s="13"/>
      <c r="G68" s="13"/>
      <c r="H68" s="13"/>
      <c r="I68" s="13"/>
      <c r="J68" s="13" t="str">
        <f aca="false">IF(OR(F68="Não feito",G68="Não feito",I68="Em risco"),"⚠ SIM","")</f>
        <v/>
      </c>
      <c r="K68" s="12"/>
    </row>
    <row r="69" customFormat="false" ht="15" hidden="false" customHeight="false" outlineLevel="0" collapsed="false">
      <c r="A69" s="12"/>
      <c r="B69" s="24"/>
      <c r="C69" s="13"/>
      <c r="D69" s="13"/>
      <c r="E69" s="13"/>
      <c r="F69" s="13"/>
      <c r="G69" s="13"/>
      <c r="H69" s="13"/>
      <c r="I69" s="13"/>
      <c r="J69" s="13" t="str">
        <f aca="false">IF(OR(F69="Não feito",G69="Não feito",I69="Em risco"),"⚠ SIM","")</f>
        <v/>
      </c>
      <c r="K69" s="12"/>
    </row>
    <row r="70" customFormat="false" ht="15" hidden="false" customHeight="false" outlineLevel="0" collapsed="false">
      <c r="A70" s="12"/>
      <c r="B70" s="24"/>
      <c r="C70" s="13"/>
      <c r="D70" s="13"/>
      <c r="E70" s="13"/>
      <c r="F70" s="13"/>
      <c r="G70" s="13"/>
      <c r="H70" s="13"/>
      <c r="I70" s="13"/>
      <c r="J70" s="13" t="str">
        <f aca="false">IF(OR(F70="Não feito",G70="Não feito",I70="Em risco"),"⚠ SIM","")</f>
        <v/>
      </c>
      <c r="K70" s="12"/>
    </row>
    <row r="71" customFormat="false" ht="15" hidden="false" customHeight="false" outlineLevel="0" collapsed="false">
      <c r="A71" s="12"/>
      <c r="B71" s="24"/>
      <c r="C71" s="13"/>
      <c r="D71" s="13"/>
      <c r="E71" s="13"/>
      <c r="F71" s="13"/>
      <c r="G71" s="13"/>
      <c r="H71" s="13"/>
      <c r="I71" s="13"/>
      <c r="J71" s="13" t="str">
        <f aca="false">IF(OR(F71="Não feito",G71="Não feito",I71="Em risco"),"⚠ SIM","")</f>
        <v/>
      </c>
      <c r="K71" s="12"/>
    </row>
    <row r="72" customFormat="false" ht="15" hidden="false" customHeight="false" outlineLevel="0" collapsed="false">
      <c r="A72" s="12"/>
      <c r="B72" s="24"/>
      <c r="C72" s="13"/>
      <c r="D72" s="13"/>
      <c r="E72" s="13"/>
      <c r="F72" s="13"/>
      <c r="G72" s="13"/>
      <c r="H72" s="13"/>
      <c r="I72" s="13"/>
      <c r="J72" s="13" t="str">
        <f aca="false">IF(OR(F72="Não feito",G72="Não feito",I72="Em risco"),"⚠ SIM","")</f>
        <v/>
      </c>
      <c r="K72" s="12"/>
    </row>
    <row r="73" customFormat="false" ht="15" hidden="false" customHeight="false" outlineLevel="0" collapsed="false">
      <c r="A73" s="12"/>
      <c r="B73" s="24"/>
      <c r="C73" s="13"/>
      <c r="D73" s="13"/>
      <c r="E73" s="13"/>
      <c r="F73" s="13"/>
      <c r="G73" s="13"/>
      <c r="H73" s="13"/>
      <c r="I73" s="13"/>
      <c r="J73" s="13" t="str">
        <f aca="false">IF(OR(F73="Não feito",G73="Não feito",I73="Em risco"),"⚠ SIM","")</f>
        <v/>
      </c>
      <c r="K73" s="12"/>
    </row>
    <row r="74" customFormat="false" ht="15" hidden="false" customHeight="false" outlineLevel="0" collapsed="false">
      <c r="A74" s="12"/>
      <c r="B74" s="24"/>
      <c r="C74" s="13"/>
      <c r="D74" s="13"/>
      <c r="E74" s="13"/>
      <c r="F74" s="13"/>
      <c r="G74" s="13"/>
      <c r="H74" s="13"/>
      <c r="I74" s="13"/>
      <c r="J74" s="13" t="str">
        <f aca="false">IF(OR(F74="Não feito",G74="Não feito",I74="Em risco"),"⚠ SIM","")</f>
        <v/>
      </c>
      <c r="K74" s="12"/>
    </row>
    <row r="75" customFormat="false" ht="15" hidden="false" customHeight="false" outlineLevel="0" collapsed="false">
      <c r="A75" s="12"/>
      <c r="B75" s="24"/>
      <c r="C75" s="13"/>
      <c r="D75" s="13"/>
      <c r="E75" s="13"/>
      <c r="F75" s="13"/>
      <c r="G75" s="13"/>
      <c r="H75" s="13"/>
      <c r="I75" s="13"/>
      <c r="J75" s="13" t="str">
        <f aca="false">IF(OR(F75="Não feito",G75="Não feito",I75="Em risco"),"⚠ SIM","")</f>
        <v/>
      </c>
      <c r="K75" s="12"/>
    </row>
    <row r="76" customFormat="false" ht="15" hidden="false" customHeight="false" outlineLevel="0" collapsed="false">
      <c r="A76" s="12"/>
      <c r="B76" s="24"/>
      <c r="C76" s="13"/>
      <c r="D76" s="13"/>
      <c r="E76" s="13"/>
      <c r="F76" s="13"/>
      <c r="G76" s="13"/>
      <c r="H76" s="13"/>
      <c r="I76" s="13"/>
      <c r="J76" s="13" t="str">
        <f aca="false">IF(OR(F76="Não feito",G76="Não feito",I76="Em risco"),"⚠ SIM","")</f>
        <v/>
      </c>
      <c r="K76" s="12"/>
    </row>
    <row r="77" customFormat="false" ht="15" hidden="false" customHeight="false" outlineLevel="0" collapsed="false">
      <c r="A77" s="12"/>
      <c r="B77" s="24"/>
      <c r="C77" s="13"/>
      <c r="D77" s="13"/>
      <c r="E77" s="13"/>
      <c r="F77" s="13"/>
      <c r="G77" s="13"/>
      <c r="H77" s="13"/>
      <c r="I77" s="13"/>
      <c r="J77" s="13" t="str">
        <f aca="false">IF(OR(F77="Não feito",G77="Não feito",I77="Em risco"),"⚠ SIM","")</f>
        <v/>
      </c>
      <c r="K77" s="12"/>
    </row>
    <row r="78" customFormat="false" ht="15" hidden="false" customHeight="false" outlineLevel="0" collapsed="false">
      <c r="A78" s="12"/>
      <c r="B78" s="24"/>
      <c r="C78" s="13"/>
      <c r="D78" s="13"/>
      <c r="E78" s="13"/>
      <c r="F78" s="13"/>
      <c r="G78" s="13"/>
      <c r="H78" s="13"/>
      <c r="I78" s="13"/>
      <c r="J78" s="13" t="str">
        <f aca="false">IF(OR(F78="Não feito",G78="Não feito",I78="Em risco"),"⚠ SIM","")</f>
        <v/>
      </c>
      <c r="K78" s="12"/>
    </row>
    <row r="79" customFormat="false" ht="15" hidden="false" customHeight="false" outlineLevel="0" collapsed="false">
      <c r="A79" s="12"/>
      <c r="B79" s="24"/>
      <c r="C79" s="13"/>
      <c r="D79" s="13"/>
      <c r="E79" s="13"/>
      <c r="F79" s="13"/>
      <c r="G79" s="13"/>
      <c r="H79" s="13"/>
      <c r="I79" s="13"/>
      <c r="J79" s="13" t="str">
        <f aca="false">IF(OR(F79="Não feito",G79="Não feito",I79="Em risco"),"⚠ SIM","")</f>
        <v/>
      </c>
      <c r="K79" s="12"/>
    </row>
    <row r="80" customFormat="false" ht="15" hidden="false" customHeight="false" outlineLevel="0" collapsed="false">
      <c r="A80" s="12"/>
      <c r="B80" s="24"/>
      <c r="C80" s="13"/>
      <c r="D80" s="13"/>
      <c r="E80" s="13"/>
      <c r="F80" s="13"/>
      <c r="G80" s="13"/>
      <c r="H80" s="13"/>
      <c r="I80" s="13"/>
      <c r="J80" s="13" t="str">
        <f aca="false">IF(OR(F80="Não feito",G80="Não feito",I80="Em risco"),"⚠ SIM","")</f>
        <v/>
      </c>
      <c r="K80" s="12"/>
    </row>
    <row r="81" customFormat="false" ht="15" hidden="false" customHeight="false" outlineLevel="0" collapsed="false">
      <c r="A81" s="12"/>
      <c r="B81" s="24"/>
      <c r="C81" s="13"/>
      <c r="D81" s="13"/>
      <c r="E81" s="13"/>
      <c r="F81" s="13"/>
      <c r="G81" s="13"/>
      <c r="H81" s="13"/>
      <c r="I81" s="13"/>
      <c r="J81" s="13" t="str">
        <f aca="false">IF(OR(F81="Não feito",G81="Não feito",I81="Em risco"),"⚠ SIM","")</f>
        <v/>
      </c>
      <c r="K81" s="12"/>
    </row>
    <row r="82" customFormat="false" ht="15" hidden="false" customHeight="false" outlineLevel="0" collapsed="false">
      <c r="A82" s="12"/>
      <c r="B82" s="24"/>
      <c r="C82" s="13"/>
      <c r="D82" s="13"/>
      <c r="E82" s="13"/>
      <c r="F82" s="13"/>
      <c r="G82" s="13"/>
      <c r="H82" s="13"/>
      <c r="I82" s="13"/>
      <c r="J82" s="13" t="str">
        <f aca="false">IF(OR(F82="Não feito",G82="Não feito",I82="Em risco"),"⚠ SIM","")</f>
        <v/>
      </c>
      <c r="K82" s="12"/>
    </row>
    <row r="83" customFormat="false" ht="15" hidden="false" customHeight="false" outlineLevel="0" collapsed="false">
      <c r="A83" s="12"/>
      <c r="B83" s="24"/>
      <c r="C83" s="13"/>
      <c r="D83" s="13"/>
      <c r="E83" s="13"/>
      <c r="F83" s="13"/>
      <c r="G83" s="13"/>
      <c r="H83" s="13"/>
      <c r="I83" s="13"/>
      <c r="J83" s="13" t="str">
        <f aca="false">IF(OR(F83="Não feito",G83="Não feito",I83="Em risco"),"⚠ SIM","")</f>
        <v/>
      </c>
      <c r="K83" s="12"/>
    </row>
    <row r="84" customFormat="false" ht="15" hidden="false" customHeight="false" outlineLevel="0" collapsed="false">
      <c r="A84" s="12"/>
      <c r="B84" s="24"/>
      <c r="C84" s="13"/>
      <c r="D84" s="13"/>
      <c r="E84" s="13"/>
      <c r="F84" s="13"/>
      <c r="G84" s="13"/>
      <c r="H84" s="13"/>
      <c r="I84" s="13"/>
      <c r="J84" s="13" t="str">
        <f aca="false">IF(OR(F84="Não feito",G84="Não feito",I84="Em risco"),"⚠ SIM","")</f>
        <v/>
      </c>
      <c r="K84" s="12"/>
    </row>
    <row r="85" customFormat="false" ht="15" hidden="false" customHeight="false" outlineLevel="0" collapsed="false">
      <c r="A85" s="12"/>
      <c r="B85" s="24"/>
      <c r="C85" s="13"/>
      <c r="D85" s="13"/>
      <c r="E85" s="13"/>
      <c r="F85" s="13"/>
      <c r="G85" s="13"/>
      <c r="H85" s="13"/>
      <c r="I85" s="13"/>
      <c r="J85" s="13" t="str">
        <f aca="false">IF(OR(F85="Não feito",G85="Não feito",I85="Em risco"),"⚠ SIM","")</f>
        <v/>
      </c>
      <c r="K85" s="12"/>
    </row>
    <row r="86" customFormat="false" ht="15" hidden="false" customHeight="false" outlineLevel="0" collapsed="false">
      <c r="A86" s="12"/>
      <c r="B86" s="24"/>
      <c r="C86" s="13"/>
      <c r="D86" s="13"/>
      <c r="E86" s="13"/>
      <c r="F86" s="13"/>
      <c r="G86" s="13"/>
      <c r="H86" s="13"/>
      <c r="I86" s="13"/>
      <c r="J86" s="13" t="str">
        <f aca="false">IF(OR(F86="Não feito",G86="Não feito",I86="Em risco"),"⚠ SIM","")</f>
        <v/>
      </c>
      <c r="K86" s="12"/>
    </row>
    <row r="87" customFormat="false" ht="15" hidden="false" customHeight="false" outlineLevel="0" collapsed="false">
      <c r="A87" s="12"/>
      <c r="B87" s="24"/>
      <c r="C87" s="13"/>
      <c r="D87" s="13"/>
      <c r="E87" s="13"/>
      <c r="F87" s="13"/>
      <c r="G87" s="13"/>
      <c r="H87" s="13"/>
      <c r="I87" s="13"/>
      <c r="J87" s="13" t="str">
        <f aca="false">IF(OR(F87="Não feito",G87="Não feito",I87="Em risco"),"⚠ SIM","")</f>
        <v/>
      </c>
      <c r="K87" s="12"/>
    </row>
    <row r="88" customFormat="false" ht="15" hidden="false" customHeight="false" outlineLevel="0" collapsed="false">
      <c r="A88" s="12"/>
      <c r="B88" s="24"/>
      <c r="C88" s="13"/>
      <c r="D88" s="13"/>
      <c r="E88" s="13"/>
      <c r="F88" s="13"/>
      <c r="G88" s="13"/>
      <c r="H88" s="13"/>
      <c r="I88" s="13"/>
      <c r="J88" s="13" t="str">
        <f aca="false">IF(OR(F88="Não feito",G88="Não feito",I88="Em risco"),"⚠ SIM","")</f>
        <v/>
      </c>
      <c r="K88" s="12"/>
    </row>
    <row r="89" customFormat="false" ht="15" hidden="false" customHeight="false" outlineLevel="0" collapsed="false">
      <c r="A89" s="12"/>
      <c r="B89" s="24"/>
      <c r="C89" s="13"/>
      <c r="D89" s="13"/>
      <c r="E89" s="13"/>
      <c r="F89" s="13"/>
      <c r="G89" s="13"/>
      <c r="H89" s="13"/>
      <c r="I89" s="13"/>
      <c r="J89" s="13" t="str">
        <f aca="false">IF(OR(F89="Não feito",G89="Não feito",I89="Em risco"),"⚠ SIM","")</f>
        <v/>
      </c>
      <c r="K89" s="12"/>
    </row>
    <row r="90" customFormat="false" ht="15" hidden="false" customHeight="false" outlineLevel="0" collapsed="false">
      <c r="A90" s="12"/>
      <c r="B90" s="24"/>
      <c r="C90" s="13"/>
      <c r="D90" s="13"/>
      <c r="E90" s="13"/>
      <c r="F90" s="13"/>
      <c r="G90" s="13"/>
      <c r="H90" s="13"/>
      <c r="I90" s="13"/>
      <c r="J90" s="13" t="str">
        <f aca="false">IF(OR(F90="Não feito",G90="Não feito",I90="Em risco"),"⚠ SIM","")</f>
        <v/>
      </c>
      <c r="K90" s="12"/>
    </row>
    <row r="91" customFormat="false" ht="15" hidden="false" customHeight="false" outlineLevel="0" collapsed="false">
      <c r="A91" s="12"/>
      <c r="B91" s="24"/>
      <c r="C91" s="13"/>
      <c r="D91" s="13"/>
      <c r="E91" s="13"/>
      <c r="F91" s="13"/>
      <c r="G91" s="13"/>
      <c r="H91" s="13"/>
      <c r="I91" s="13"/>
      <c r="J91" s="13" t="str">
        <f aca="false">IF(OR(F91="Não feito",G91="Não feito",I91="Em risco"),"⚠ SIM","")</f>
        <v/>
      </c>
      <c r="K91" s="12"/>
    </row>
    <row r="92" customFormat="false" ht="15" hidden="false" customHeight="false" outlineLevel="0" collapsed="false">
      <c r="A92" s="12"/>
      <c r="B92" s="24"/>
      <c r="C92" s="13"/>
      <c r="D92" s="13"/>
      <c r="E92" s="13"/>
      <c r="F92" s="13"/>
      <c r="G92" s="13"/>
      <c r="H92" s="13"/>
      <c r="I92" s="13"/>
      <c r="J92" s="13" t="str">
        <f aca="false">IF(OR(F92="Não feito",G92="Não feito",I92="Em risco"),"⚠ SIM","")</f>
        <v/>
      </c>
      <c r="K92" s="12"/>
    </row>
    <row r="93" customFormat="false" ht="15" hidden="false" customHeight="false" outlineLevel="0" collapsed="false">
      <c r="A93" s="12"/>
      <c r="B93" s="24"/>
      <c r="C93" s="13"/>
      <c r="D93" s="13"/>
      <c r="E93" s="13"/>
      <c r="F93" s="13"/>
      <c r="G93" s="13"/>
      <c r="H93" s="13"/>
      <c r="I93" s="13"/>
      <c r="J93" s="13" t="str">
        <f aca="false">IF(OR(F93="Não feito",G93="Não feito",I93="Em risco"),"⚠ SIM","")</f>
        <v/>
      </c>
      <c r="K93" s="12"/>
    </row>
    <row r="94" customFormat="false" ht="15" hidden="false" customHeight="false" outlineLevel="0" collapsed="false">
      <c r="A94" s="12"/>
      <c r="B94" s="24"/>
      <c r="C94" s="13"/>
      <c r="D94" s="13"/>
      <c r="E94" s="13"/>
      <c r="F94" s="13"/>
      <c r="G94" s="13"/>
      <c r="H94" s="13"/>
      <c r="I94" s="13"/>
      <c r="J94" s="13" t="str">
        <f aca="false">IF(OR(F94="Não feito",G94="Não feito",I94="Em risco"),"⚠ SIM","")</f>
        <v/>
      </c>
      <c r="K94" s="12"/>
    </row>
    <row r="95" customFormat="false" ht="15" hidden="false" customHeight="false" outlineLevel="0" collapsed="false">
      <c r="A95" s="12"/>
      <c r="B95" s="24"/>
      <c r="C95" s="13"/>
      <c r="D95" s="13"/>
      <c r="E95" s="13"/>
      <c r="F95" s="13"/>
      <c r="G95" s="13"/>
      <c r="H95" s="13"/>
      <c r="I95" s="13"/>
      <c r="J95" s="13" t="str">
        <f aca="false">IF(OR(F95="Não feito",G95="Não feito",I95="Em risco"),"⚠ SIM","")</f>
        <v/>
      </c>
      <c r="K95" s="12"/>
    </row>
    <row r="96" customFormat="false" ht="15" hidden="false" customHeight="false" outlineLevel="0" collapsed="false">
      <c r="A96" s="12"/>
      <c r="B96" s="24"/>
      <c r="C96" s="13"/>
      <c r="D96" s="13"/>
      <c r="E96" s="13"/>
      <c r="F96" s="13"/>
      <c r="G96" s="13"/>
      <c r="H96" s="13"/>
      <c r="I96" s="13"/>
      <c r="J96" s="13" t="str">
        <f aca="false">IF(OR(F96="Não feito",G96="Não feito",I96="Em risco"),"⚠ SIM","")</f>
        <v/>
      </c>
      <c r="K96" s="12"/>
    </row>
    <row r="97" customFormat="false" ht="15" hidden="false" customHeight="false" outlineLevel="0" collapsed="false">
      <c r="A97" s="12"/>
      <c r="B97" s="24"/>
      <c r="C97" s="13"/>
      <c r="D97" s="13"/>
      <c r="E97" s="13"/>
      <c r="F97" s="13"/>
      <c r="G97" s="13"/>
      <c r="H97" s="13"/>
      <c r="I97" s="13"/>
      <c r="J97" s="13" t="str">
        <f aca="false">IF(OR(F97="Não feito",G97="Não feito",I97="Em risco"),"⚠ SIM","")</f>
        <v/>
      </c>
      <c r="K97" s="12"/>
    </row>
    <row r="98" customFormat="false" ht="15" hidden="false" customHeight="false" outlineLevel="0" collapsed="false">
      <c r="A98" s="12"/>
      <c r="B98" s="24"/>
      <c r="C98" s="13"/>
      <c r="D98" s="13"/>
      <c r="E98" s="13"/>
      <c r="F98" s="13"/>
      <c r="G98" s="13"/>
      <c r="H98" s="13"/>
      <c r="I98" s="13"/>
      <c r="J98" s="13" t="str">
        <f aca="false">IF(OR(F98="Não feito",G98="Não feito",I98="Em risco"),"⚠ SIM","")</f>
        <v/>
      </c>
      <c r="K98" s="12"/>
    </row>
    <row r="99" customFormat="false" ht="15" hidden="false" customHeight="false" outlineLevel="0" collapsed="false">
      <c r="A99" s="12"/>
      <c r="B99" s="24"/>
      <c r="C99" s="13"/>
      <c r="D99" s="13"/>
      <c r="E99" s="13"/>
      <c r="F99" s="13"/>
      <c r="G99" s="13"/>
      <c r="H99" s="13"/>
      <c r="I99" s="13"/>
      <c r="J99" s="13" t="str">
        <f aca="false">IF(OR(F99="Não feito",G99="Não feito",I99="Em risco"),"⚠ SIM","")</f>
        <v/>
      </c>
      <c r="K99" s="12"/>
    </row>
    <row r="100" customFormat="false" ht="15" hidden="false" customHeight="false" outlineLevel="0" collapsed="false">
      <c r="A100" s="12"/>
      <c r="B100" s="24"/>
      <c r="C100" s="13"/>
      <c r="D100" s="13"/>
      <c r="E100" s="13"/>
      <c r="F100" s="13"/>
      <c r="G100" s="13"/>
      <c r="H100" s="13"/>
      <c r="I100" s="13"/>
      <c r="J100" s="13" t="str">
        <f aca="false">IF(OR(F100="Não feito",G100="Não feito",I100="Em risco"),"⚠ SIM","")</f>
        <v/>
      </c>
      <c r="K100" s="12"/>
    </row>
    <row r="101" customFormat="false" ht="15" hidden="false" customHeight="false" outlineLevel="0" collapsed="false">
      <c r="A101" s="12"/>
      <c r="B101" s="24"/>
      <c r="C101" s="13"/>
      <c r="D101" s="13"/>
      <c r="E101" s="13"/>
      <c r="F101" s="13"/>
      <c r="G101" s="13"/>
      <c r="H101" s="13"/>
      <c r="I101" s="13"/>
      <c r="J101" s="13" t="str">
        <f aca="false">IF(OR(F101="Não feito",G101="Não feito",I101="Em risco"),"⚠ SIM","")</f>
        <v/>
      </c>
      <c r="K101" s="12"/>
    </row>
    <row r="102" customFormat="false" ht="15" hidden="false" customHeight="false" outlineLevel="0" collapsed="false">
      <c r="A102" s="12"/>
      <c r="B102" s="24"/>
      <c r="C102" s="13"/>
      <c r="D102" s="13"/>
      <c r="E102" s="13"/>
      <c r="F102" s="13"/>
      <c r="G102" s="13"/>
      <c r="H102" s="13"/>
      <c r="I102" s="13"/>
      <c r="J102" s="13" t="str">
        <f aca="false">IF(OR(F102="Não feito",G102="Não feito",I102="Em risco"),"⚠ SIM","")</f>
        <v/>
      </c>
      <c r="K102" s="12"/>
    </row>
    <row r="103" customFormat="false" ht="15" hidden="false" customHeight="false" outlineLevel="0" collapsed="false">
      <c r="A103" s="12"/>
      <c r="B103" s="24"/>
      <c r="C103" s="13"/>
      <c r="D103" s="13"/>
      <c r="E103" s="13"/>
      <c r="F103" s="13"/>
      <c r="G103" s="13"/>
      <c r="H103" s="13"/>
      <c r="I103" s="13"/>
      <c r="J103" s="13" t="str">
        <f aca="false">IF(OR(F103="Não feito",G103="Não feito",I103="Em risco"),"⚠ SIM","")</f>
        <v/>
      </c>
      <c r="K103" s="12"/>
    </row>
    <row r="104" customFormat="false" ht="15" hidden="false" customHeight="false" outlineLevel="0" collapsed="false">
      <c r="A104" s="12"/>
      <c r="B104" s="24"/>
      <c r="C104" s="13"/>
      <c r="D104" s="13"/>
      <c r="E104" s="13"/>
      <c r="F104" s="13"/>
      <c r="G104" s="13"/>
      <c r="H104" s="13"/>
      <c r="I104" s="13"/>
      <c r="J104" s="13" t="str">
        <f aca="false">IF(OR(F104="Não feito",G104="Não feito",I104="Em risco"),"⚠ SIM","")</f>
        <v/>
      </c>
      <c r="K104" s="12"/>
    </row>
    <row r="105" customFormat="false" ht="15" hidden="false" customHeight="false" outlineLevel="0" collapsed="false">
      <c r="A105" s="12"/>
      <c r="B105" s="24"/>
      <c r="C105" s="13"/>
      <c r="D105" s="13"/>
      <c r="E105" s="13"/>
      <c r="F105" s="13"/>
      <c r="G105" s="13"/>
      <c r="H105" s="13"/>
      <c r="I105" s="13"/>
      <c r="J105" s="13" t="str">
        <f aca="false">IF(OR(F105="Não feito",G105="Não feito",I105="Em risco"),"⚠ SIM","")</f>
        <v/>
      </c>
      <c r="K105" s="12"/>
    </row>
    <row r="106" customFormat="false" ht="15" hidden="false" customHeight="false" outlineLevel="0" collapsed="false">
      <c r="A106" s="12"/>
      <c r="B106" s="24"/>
      <c r="C106" s="13"/>
      <c r="D106" s="13"/>
      <c r="E106" s="13"/>
      <c r="F106" s="13"/>
      <c r="G106" s="13"/>
      <c r="H106" s="13"/>
      <c r="I106" s="13"/>
      <c r="J106" s="13" t="str">
        <f aca="false">IF(OR(F106="Não feito",G106="Não feito",I106="Em risco"),"⚠ SIM","")</f>
        <v/>
      </c>
      <c r="K106" s="12"/>
    </row>
    <row r="107" customFormat="false" ht="15" hidden="false" customHeight="false" outlineLevel="0" collapsed="false">
      <c r="A107" s="12"/>
      <c r="B107" s="24"/>
      <c r="C107" s="13"/>
      <c r="D107" s="13"/>
      <c r="E107" s="13"/>
      <c r="F107" s="13"/>
      <c r="G107" s="13"/>
      <c r="H107" s="13"/>
      <c r="I107" s="13"/>
      <c r="J107" s="13" t="str">
        <f aca="false">IF(OR(F107="Não feito",G107="Não feito",I107="Em risco"),"⚠ SIM","")</f>
        <v/>
      </c>
      <c r="K107" s="12"/>
    </row>
    <row r="108" customFormat="false" ht="15" hidden="false" customHeight="false" outlineLevel="0" collapsed="false">
      <c r="A108" s="12"/>
      <c r="B108" s="24"/>
      <c r="C108" s="13"/>
      <c r="D108" s="13"/>
      <c r="E108" s="13"/>
      <c r="F108" s="13"/>
      <c r="G108" s="13"/>
      <c r="H108" s="13"/>
      <c r="I108" s="13"/>
      <c r="J108" s="13" t="str">
        <f aca="false">IF(OR(F108="Não feito",G108="Não feito",I108="Em risco"),"⚠ SIM","")</f>
        <v/>
      </c>
      <c r="K108" s="12"/>
    </row>
    <row r="109" customFormat="false" ht="15" hidden="false" customHeight="false" outlineLevel="0" collapsed="false">
      <c r="A109" s="12"/>
      <c r="B109" s="24"/>
      <c r="C109" s="13"/>
      <c r="D109" s="13"/>
      <c r="E109" s="13"/>
      <c r="F109" s="13"/>
      <c r="G109" s="13"/>
      <c r="H109" s="13"/>
      <c r="I109" s="13"/>
      <c r="J109" s="13" t="str">
        <f aca="false">IF(OR(F109="Não feito",G109="Não feito",I109="Em risco"),"⚠ SIM","")</f>
        <v/>
      </c>
      <c r="K109" s="12"/>
    </row>
    <row r="110" customFormat="false" ht="15" hidden="false" customHeight="false" outlineLevel="0" collapsed="false">
      <c r="A110" s="12"/>
      <c r="B110" s="24"/>
      <c r="C110" s="13"/>
      <c r="D110" s="13"/>
      <c r="E110" s="13"/>
      <c r="F110" s="13"/>
      <c r="G110" s="13"/>
      <c r="H110" s="13"/>
      <c r="I110" s="13"/>
      <c r="J110" s="13" t="str">
        <f aca="false">IF(OR(F110="Não feito",G110="Não feito",I110="Em risco"),"⚠ SIM","")</f>
        <v/>
      </c>
      <c r="K110" s="12"/>
    </row>
    <row r="111" customFormat="false" ht="15" hidden="false" customHeight="false" outlineLevel="0" collapsed="false">
      <c r="A111" s="12"/>
      <c r="B111" s="24"/>
      <c r="C111" s="13"/>
      <c r="D111" s="13"/>
      <c r="E111" s="13"/>
      <c r="F111" s="13"/>
      <c r="G111" s="13"/>
      <c r="H111" s="13"/>
      <c r="I111" s="13"/>
      <c r="J111" s="13" t="str">
        <f aca="false">IF(OR(F111="Não feito",G111="Não feito",I111="Em risco"),"⚠ SIM","")</f>
        <v/>
      </c>
      <c r="K111" s="12"/>
    </row>
    <row r="112" customFormat="false" ht="15" hidden="false" customHeight="false" outlineLevel="0" collapsed="false">
      <c r="A112" s="12"/>
      <c r="B112" s="24"/>
      <c r="C112" s="13"/>
      <c r="D112" s="13"/>
      <c r="E112" s="13"/>
      <c r="F112" s="13"/>
      <c r="G112" s="13"/>
      <c r="H112" s="13"/>
      <c r="I112" s="13"/>
      <c r="J112" s="13" t="str">
        <f aca="false">IF(OR(F112="Não feito",G112="Não feito",I112="Em risco"),"⚠ SIM","")</f>
        <v/>
      </c>
      <c r="K112" s="12"/>
    </row>
    <row r="113" customFormat="false" ht="15" hidden="false" customHeight="false" outlineLevel="0" collapsed="false">
      <c r="A113" s="12"/>
      <c r="B113" s="24"/>
      <c r="C113" s="13"/>
      <c r="D113" s="13"/>
      <c r="E113" s="13"/>
      <c r="F113" s="13"/>
      <c r="G113" s="13"/>
      <c r="H113" s="13"/>
      <c r="I113" s="13"/>
      <c r="J113" s="13" t="str">
        <f aca="false">IF(OR(F113="Não feito",G113="Não feito",I113="Em risco"),"⚠ SIM","")</f>
        <v/>
      </c>
      <c r="K113" s="12"/>
    </row>
    <row r="114" customFormat="false" ht="15" hidden="false" customHeight="false" outlineLevel="0" collapsed="false">
      <c r="A114" s="12"/>
      <c r="B114" s="24"/>
      <c r="C114" s="13"/>
      <c r="D114" s="13"/>
      <c r="E114" s="13"/>
      <c r="F114" s="13"/>
      <c r="G114" s="13"/>
      <c r="H114" s="13"/>
      <c r="I114" s="13"/>
      <c r="J114" s="13" t="str">
        <f aca="false">IF(OR(F114="Não feito",G114="Não feito",I114="Em risco"),"⚠ SIM","")</f>
        <v/>
      </c>
      <c r="K114" s="12"/>
    </row>
    <row r="115" customFormat="false" ht="15" hidden="false" customHeight="false" outlineLevel="0" collapsed="false">
      <c r="A115" s="12"/>
      <c r="B115" s="24"/>
      <c r="C115" s="13"/>
      <c r="D115" s="13"/>
      <c r="E115" s="13"/>
      <c r="F115" s="13"/>
      <c r="G115" s="13"/>
      <c r="H115" s="13"/>
      <c r="I115" s="13"/>
      <c r="J115" s="13" t="str">
        <f aca="false">IF(OR(F115="Não feito",G115="Não feito",I115="Em risco"),"⚠ SIM","")</f>
        <v/>
      </c>
      <c r="K115" s="12"/>
    </row>
    <row r="116" customFormat="false" ht="15" hidden="false" customHeight="false" outlineLevel="0" collapsed="false">
      <c r="A116" s="12"/>
      <c r="B116" s="24"/>
      <c r="C116" s="13"/>
      <c r="D116" s="13"/>
      <c r="E116" s="13"/>
      <c r="F116" s="13"/>
      <c r="G116" s="13"/>
      <c r="H116" s="13"/>
      <c r="I116" s="13"/>
      <c r="J116" s="13" t="str">
        <f aca="false">IF(OR(F116="Não feito",G116="Não feito",I116="Em risco"),"⚠ SIM","")</f>
        <v/>
      </c>
      <c r="K116" s="12"/>
    </row>
    <row r="117" customFormat="false" ht="15" hidden="false" customHeight="false" outlineLevel="0" collapsed="false">
      <c r="A117" s="12"/>
      <c r="B117" s="24"/>
      <c r="C117" s="13"/>
      <c r="D117" s="13"/>
      <c r="E117" s="13"/>
      <c r="F117" s="13"/>
      <c r="G117" s="13"/>
      <c r="H117" s="13"/>
      <c r="I117" s="13"/>
      <c r="J117" s="13" t="str">
        <f aca="false">IF(OR(F117="Não feito",G117="Não feito",I117="Em risco"),"⚠ SIM","")</f>
        <v/>
      </c>
      <c r="K117" s="12"/>
    </row>
    <row r="118" customFormat="false" ht="15" hidden="false" customHeight="false" outlineLevel="0" collapsed="false">
      <c r="A118" s="12"/>
      <c r="B118" s="24"/>
      <c r="C118" s="13"/>
      <c r="D118" s="13"/>
      <c r="E118" s="13"/>
      <c r="F118" s="13"/>
      <c r="G118" s="13"/>
      <c r="H118" s="13"/>
      <c r="I118" s="13"/>
      <c r="J118" s="13" t="str">
        <f aca="false">IF(OR(F118="Não feito",G118="Não feito",I118="Em risco"),"⚠ SIM","")</f>
        <v/>
      </c>
      <c r="K118" s="12"/>
    </row>
    <row r="119" customFormat="false" ht="15" hidden="false" customHeight="false" outlineLevel="0" collapsed="false">
      <c r="A119" s="12"/>
      <c r="B119" s="24"/>
      <c r="C119" s="13"/>
      <c r="D119" s="13"/>
      <c r="E119" s="13"/>
      <c r="F119" s="13"/>
      <c r="G119" s="13"/>
      <c r="H119" s="13"/>
      <c r="I119" s="13"/>
      <c r="J119" s="13" t="str">
        <f aca="false">IF(OR(F119="Não feito",G119="Não feito",I119="Em risco"),"⚠ SIM","")</f>
        <v/>
      </c>
      <c r="K119" s="12"/>
    </row>
    <row r="120" customFormat="false" ht="15" hidden="false" customHeight="false" outlineLevel="0" collapsed="false">
      <c r="A120" s="12"/>
      <c r="B120" s="24"/>
      <c r="C120" s="13"/>
      <c r="D120" s="13"/>
      <c r="E120" s="13"/>
      <c r="F120" s="13"/>
      <c r="G120" s="13"/>
      <c r="H120" s="13"/>
      <c r="I120" s="13"/>
      <c r="J120" s="13" t="str">
        <f aca="false">IF(OR(F120="Não feito",G120="Não feito",I120="Em risco"),"⚠ SIM","")</f>
        <v/>
      </c>
      <c r="K120" s="12"/>
    </row>
    <row r="121" customFormat="false" ht="15" hidden="false" customHeight="false" outlineLevel="0" collapsed="false">
      <c r="A121" s="12"/>
      <c r="B121" s="24"/>
      <c r="C121" s="13"/>
      <c r="D121" s="13"/>
      <c r="E121" s="13"/>
      <c r="F121" s="13"/>
      <c r="G121" s="13"/>
      <c r="H121" s="13"/>
      <c r="I121" s="13"/>
      <c r="J121" s="13" t="str">
        <f aca="false">IF(OR(F121="Não feito",G121="Não feito",I121="Em risco"),"⚠ SIM","")</f>
        <v/>
      </c>
      <c r="K121" s="12"/>
    </row>
    <row r="122" customFormat="false" ht="15" hidden="false" customHeight="false" outlineLevel="0" collapsed="false">
      <c r="A122" s="12"/>
      <c r="B122" s="24"/>
      <c r="C122" s="13"/>
      <c r="D122" s="13"/>
      <c r="E122" s="13"/>
      <c r="F122" s="13"/>
      <c r="G122" s="13"/>
      <c r="H122" s="13"/>
      <c r="I122" s="13"/>
      <c r="J122" s="13" t="str">
        <f aca="false">IF(OR(F122="Não feito",G122="Não feito",I122="Em risco"),"⚠ SIM","")</f>
        <v/>
      </c>
      <c r="K122" s="12"/>
    </row>
    <row r="123" customFormat="false" ht="15" hidden="false" customHeight="false" outlineLevel="0" collapsed="false">
      <c r="A123" s="12"/>
      <c r="B123" s="24"/>
      <c r="C123" s="13"/>
      <c r="D123" s="13"/>
      <c r="E123" s="13"/>
      <c r="F123" s="13"/>
      <c r="G123" s="13"/>
      <c r="H123" s="13"/>
      <c r="I123" s="13"/>
      <c r="J123" s="13" t="str">
        <f aca="false">IF(OR(F123="Não feito",G123="Não feito",I123="Em risco"),"⚠ SIM","")</f>
        <v/>
      </c>
      <c r="K123" s="12"/>
    </row>
    <row r="124" customFormat="false" ht="15" hidden="false" customHeight="false" outlineLevel="0" collapsed="false">
      <c r="A124" s="12"/>
      <c r="B124" s="24"/>
      <c r="C124" s="13"/>
      <c r="D124" s="13"/>
      <c r="E124" s="13"/>
      <c r="F124" s="13"/>
      <c r="G124" s="13"/>
      <c r="H124" s="13"/>
      <c r="I124" s="13"/>
      <c r="J124" s="13" t="str">
        <f aca="false">IF(OR(F124="Não feito",G124="Não feito",I124="Em risco"),"⚠ SIM","")</f>
        <v/>
      </c>
      <c r="K124" s="12"/>
    </row>
    <row r="125" customFormat="false" ht="15" hidden="false" customHeight="false" outlineLevel="0" collapsed="false">
      <c r="A125" s="12"/>
      <c r="B125" s="24"/>
      <c r="C125" s="13"/>
      <c r="D125" s="13"/>
      <c r="E125" s="13"/>
      <c r="F125" s="13"/>
      <c r="G125" s="13"/>
      <c r="H125" s="13"/>
      <c r="I125" s="13"/>
      <c r="J125" s="13" t="str">
        <f aca="false">IF(OR(F125="Não feito",G125="Não feito",I125="Em risco"),"⚠ SIM","")</f>
        <v/>
      </c>
      <c r="K125" s="12"/>
    </row>
    <row r="126" customFormat="false" ht="15" hidden="false" customHeight="false" outlineLevel="0" collapsed="false">
      <c r="A126" s="12"/>
      <c r="B126" s="24"/>
      <c r="C126" s="13"/>
      <c r="D126" s="13"/>
      <c r="E126" s="13"/>
      <c r="F126" s="13"/>
      <c r="G126" s="13"/>
      <c r="H126" s="13"/>
      <c r="I126" s="13"/>
      <c r="J126" s="13" t="str">
        <f aca="false">IF(OR(F126="Não feito",G126="Não feito",I126="Em risco"),"⚠ SIM","")</f>
        <v/>
      </c>
      <c r="K126" s="12"/>
    </row>
    <row r="127" customFormat="false" ht="15" hidden="false" customHeight="false" outlineLevel="0" collapsed="false">
      <c r="A127" s="12"/>
      <c r="B127" s="24"/>
      <c r="C127" s="13"/>
      <c r="D127" s="13"/>
      <c r="E127" s="13"/>
      <c r="F127" s="13"/>
      <c r="G127" s="13"/>
      <c r="H127" s="13"/>
      <c r="I127" s="13"/>
      <c r="J127" s="13" t="str">
        <f aca="false">IF(OR(F127="Não feito",G127="Não feito",I127="Em risco"),"⚠ SIM","")</f>
        <v/>
      </c>
      <c r="K127" s="12"/>
    </row>
    <row r="128" customFormat="false" ht="15" hidden="false" customHeight="false" outlineLevel="0" collapsed="false">
      <c r="A128" s="12"/>
      <c r="B128" s="24"/>
      <c r="C128" s="13"/>
      <c r="D128" s="13"/>
      <c r="E128" s="13"/>
      <c r="F128" s="13"/>
      <c r="G128" s="13"/>
      <c r="H128" s="13"/>
      <c r="I128" s="13"/>
      <c r="J128" s="13" t="str">
        <f aca="false">IF(OR(F128="Não feito",G128="Não feito",I128="Em risco"),"⚠ SIM","")</f>
        <v/>
      </c>
      <c r="K128" s="12"/>
    </row>
    <row r="129" customFormat="false" ht="15" hidden="false" customHeight="false" outlineLevel="0" collapsed="false">
      <c r="A129" s="12"/>
      <c r="B129" s="24"/>
      <c r="C129" s="13"/>
      <c r="D129" s="13"/>
      <c r="E129" s="13"/>
      <c r="F129" s="13"/>
      <c r="G129" s="13"/>
      <c r="H129" s="13"/>
      <c r="I129" s="13"/>
      <c r="J129" s="13" t="str">
        <f aca="false">IF(OR(F129="Não feito",G129="Não feito",I129="Em risco"),"⚠ SIM","")</f>
        <v/>
      </c>
      <c r="K129" s="12"/>
    </row>
    <row r="130" customFormat="false" ht="15" hidden="false" customHeight="false" outlineLevel="0" collapsed="false">
      <c r="A130" s="12"/>
      <c r="B130" s="24"/>
      <c r="C130" s="13"/>
      <c r="D130" s="13"/>
      <c r="E130" s="13"/>
      <c r="F130" s="13"/>
      <c r="G130" s="13"/>
      <c r="H130" s="13"/>
      <c r="I130" s="13"/>
      <c r="J130" s="13" t="str">
        <f aca="false">IF(OR(F130="Não feito",G130="Não feito",I130="Em risco"),"⚠ SIM","")</f>
        <v/>
      </c>
      <c r="K130" s="12"/>
    </row>
    <row r="131" customFormat="false" ht="15" hidden="false" customHeight="false" outlineLevel="0" collapsed="false">
      <c r="A131" s="12"/>
      <c r="B131" s="24"/>
      <c r="C131" s="13"/>
      <c r="D131" s="13"/>
      <c r="E131" s="13"/>
      <c r="F131" s="13"/>
      <c r="G131" s="13"/>
      <c r="H131" s="13"/>
      <c r="I131" s="13"/>
      <c r="J131" s="13" t="str">
        <f aca="false">IF(OR(F131="Não feito",G131="Não feito",I131="Em risco"),"⚠ SIM","")</f>
        <v/>
      </c>
      <c r="K131" s="12"/>
    </row>
    <row r="132" customFormat="false" ht="15" hidden="false" customHeight="false" outlineLevel="0" collapsed="false">
      <c r="A132" s="12"/>
      <c r="B132" s="24"/>
      <c r="C132" s="13"/>
      <c r="D132" s="13"/>
      <c r="E132" s="13"/>
      <c r="F132" s="13"/>
      <c r="G132" s="13"/>
      <c r="H132" s="13"/>
      <c r="I132" s="13"/>
      <c r="J132" s="13" t="str">
        <f aca="false">IF(OR(F132="Não feito",G132="Não feito",I132="Em risco"),"⚠ SIM","")</f>
        <v/>
      </c>
      <c r="K132" s="12"/>
    </row>
    <row r="133" customFormat="false" ht="15" hidden="false" customHeight="false" outlineLevel="0" collapsed="false">
      <c r="A133" s="12"/>
      <c r="B133" s="24"/>
      <c r="C133" s="13"/>
      <c r="D133" s="13"/>
      <c r="E133" s="13"/>
      <c r="F133" s="13"/>
      <c r="G133" s="13"/>
      <c r="H133" s="13"/>
      <c r="I133" s="13"/>
      <c r="J133" s="13" t="str">
        <f aca="false">IF(OR(F133="Não feito",G133="Não feito",I133="Em risco"),"⚠ SIM","")</f>
        <v/>
      </c>
      <c r="K133" s="12"/>
    </row>
    <row r="134" customFormat="false" ht="15" hidden="false" customHeight="false" outlineLevel="0" collapsed="false">
      <c r="A134" s="12"/>
      <c r="B134" s="24"/>
      <c r="C134" s="13"/>
      <c r="D134" s="13"/>
      <c r="E134" s="13"/>
      <c r="F134" s="13"/>
      <c r="G134" s="13"/>
      <c r="H134" s="13"/>
      <c r="I134" s="13"/>
      <c r="J134" s="13" t="str">
        <f aca="false">IF(OR(F134="Não feito",G134="Não feito",I134="Em risco"),"⚠ SIM","")</f>
        <v/>
      </c>
      <c r="K134" s="12"/>
    </row>
    <row r="135" customFormat="false" ht="15" hidden="false" customHeight="false" outlineLevel="0" collapsed="false">
      <c r="A135" s="12"/>
      <c r="B135" s="24"/>
      <c r="C135" s="13"/>
      <c r="D135" s="13"/>
      <c r="E135" s="13"/>
      <c r="F135" s="13"/>
      <c r="G135" s="13"/>
      <c r="H135" s="13"/>
      <c r="I135" s="13"/>
      <c r="J135" s="13" t="str">
        <f aca="false">IF(OR(F135="Não feito",G135="Não feito",I135="Em risco"),"⚠ SIM","")</f>
        <v/>
      </c>
      <c r="K135" s="12"/>
    </row>
    <row r="136" customFormat="false" ht="15" hidden="false" customHeight="false" outlineLevel="0" collapsed="false">
      <c r="A136" s="12"/>
      <c r="B136" s="24"/>
      <c r="C136" s="13"/>
      <c r="D136" s="13"/>
      <c r="E136" s="13"/>
      <c r="F136" s="13"/>
      <c r="G136" s="13"/>
      <c r="H136" s="13"/>
      <c r="I136" s="13"/>
      <c r="J136" s="13" t="str">
        <f aca="false">IF(OR(F136="Não feito",G136="Não feito",I136="Em risco"),"⚠ SIM","")</f>
        <v/>
      </c>
      <c r="K136" s="12"/>
    </row>
    <row r="137" customFormat="false" ht="15" hidden="false" customHeight="false" outlineLevel="0" collapsed="false">
      <c r="A137" s="12"/>
      <c r="B137" s="24"/>
      <c r="C137" s="13"/>
      <c r="D137" s="13"/>
      <c r="E137" s="13"/>
      <c r="F137" s="13"/>
      <c r="G137" s="13"/>
      <c r="H137" s="13"/>
      <c r="I137" s="13"/>
      <c r="J137" s="13" t="str">
        <f aca="false">IF(OR(F137="Não feito",G137="Não feito",I137="Em risco"),"⚠ SIM","")</f>
        <v/>
      </c>
      <c r="K137" s="12"/>
    </row>
    <row r="138" customFormat="false" ht="15" hidden="false" customHeight="false" outlineLevel="0" collapsed="false">
      <c r="A138" s="12"/>
      <c r="B138" s="24"/>
      <c r="C138" s="13"/>
      <c r="D138" s="13"/>
      <c r="E138" s="13"/>
      <c r="F138" s="13"/>
      <c r="G138" s="13"/>
      <c r="H138" s="13"/>
      <c r="I138" s="13"/>
      <c r="J138" s="13" t="str">
        <f aca="false">IF(OR(F138="Não feito",G138="Não feito",I138="Em risco"),"⚠ SIM","")</f>
        <v/>
      </c>
      <c r="K138" s="12"/>
    </row>
    <row r="139" customFormat="false" ht="15" hidden="false" customHeight="false" outlineLevel="0" collapsed="false">
      <c r="A139" s="12"/>
      <c r="B139" s="24"/>
      <c r="C139" s="13"/>
      <c r="D139" s="13"/>
      <c r="E139" s="13"/>
      <c r="F139" s="13"/>
      <c r="G139" s="13"/>
      <c r="H139" s="13"/>
      <c r="I139" s="13"/>
      <c r="J139" s="13" t="str">
        <f aca="false">IF(OR(F139="Não feito",G139="Não feito",I139="Em risco"),"⚠ SIM","")</f>
        <v/>
      </c>
      <c r="K139" s="12"/>
    </row>
    <row r="140" customFormat="false" ht="15" hidden="false" customHeight="false" outlineLevel="0" collapsed="false">
      <c r="A140" s="12"/>
      <c r="B140" s="24"/>
      <c r="C140" s="13"/>
      <c r="D140" s="13"/>
      <c r="E140" s="13"/>
      <c r="F140" s="13"/>
      <c r="G140" s="13"/>
      <c r="H140" s="13"/>
      <c r="I140" s="13"/>
      <c r="J140" s="13" t="str">
        <f aca="false">IF(OR(F140="Não feito",G140="Não feito",I140="Em risco"),"⚠ SIM","")</f>
        <v/>
      </c>
      <c r="K140" s="12"/>
    </row>
    <row r="141" customFormat="false" ht="15" hidden="false" customHeight="false" outlineLevel="0" collapsed="false">
      <c r="A141" s="12"/>
      <c r="B141" s="24"/>
      <c r="C141" s="13"/>
      <c r="D141" s="13"/>
      <c r="E141" s="13"/>
      <c r="F141" s="13"/>
      <c r="G141" s="13"/>
      <c r="H141" s="13"/>
      <c r="I141" s="13"/>
      <c r="J141" s="13" t="str">
        <f aca="false">IF(OR(F141="Não feito",G141="Não feito",I141="Em risco"),"⚠ SIM","")</f>
        <v/>
      </c>
      <c r="K141" s="12"/>
    </row>
    <row r="142" customFormat="false" ht="15" hidden="false" customHeight="false" outlineLevel="0" collapsed="false">
      <c r="A142" s="12"/>
      <c r="B142" s="24"/>
      <c r="C142" s="13"/>
      <c r="D142" s="13"/>
      <c r="E142" s="13"/>
      <c r="F142" s="13"/>
      <c r="G142" s="13"/>
      <c r="H142" s="13"/>
      <c r="I142" s="13"/>
      <c r="J142" s="13" t="str">
        <f aca="false">IF(OR(F142="Não feito",G142="Não feito",I142="Em risco"),"⚠ SIM","")</f>
        <v/>
      </c>
      <c r="K142" s="12"/>
    </row>
    <row r="143" customFormat="false" ht="15" hidden="false" customHeight="false" outlineLevel="0" collapsed="false">
      <c r="A143" s="12"/>
      <c r="B143" s="24"/>
      <c r="C143" s="13"/>
      <c r="D143" s="13"/>
      <c r="E143" s="13"/>
      <c r="F143" s="13"/>
      <c r="G143" s="13"/>
      <c r="H143" s="13"/>
      <c r="I143" s="13"/>
      <c r="J143" s="13" t="str">
        <f aca="false">IF(OR(F143="Não feito",G143="Não feito",I143="Em risco"),"⚠ SIM","")</f>
        <v/>
      </c>
      <c r="K143" s="12"/>
    </row>
    <row r="144" customFormat="false" ht="15" hidden="false" customHeight="false" outlineLevel="0" collapsed="false">
      <c r="A144" s="12"/>
      <c r="B144" s="24"/>
      <c r="C144" s="13"/>
      <c r="D144" s="13"/>
      <c r="E144" s="13"/>
      <c r="F144" s="13"/>
      <c r="G144" s="13"/>
      <c r="H144" s="13"/>
      <c r="I144" s="13"/>
      <c r="J144" s="13" t="str">
        <f aca="false">IF(OR(F144="Não feito",G144="Não feito",I144="Em risco"),"⚠ SIM","")</f>
        <v/>
      </c>
      <c r="K144" s="12"/>
    </row>
    <row r="145" customFormat="false" ht="15" hidden="false" customHeight="false" outlineLevel="0" collapsed="false">
      <c r="A145" s="12"/>
      <c r="B145" s="24"/>
      <c r="C145" s="13"/>
      <c r="D145" s="13"/>
      <c r="E145" s="13"/>
      <c r="F145" s="13"/>
      <c r="G145" s="13"/>
      <c r="H145" s="13"/>
      <c r="I145" s="13"/>
      <c r="J145" s="13" t="str">
        <f aca="false">IF(OR(F145="Não feito",G145="Não feito",I145="Em risco"),"⚠ SIM","")</f>
        <v/>
      </c>
      <c r="K145" s="12"/>
    </row>
    <row r="146" customFormat="false" ht="15" hidden="false" customHeight="false" outlineLevel="0" collapsed="false">
      <c r="A146" s="12"/>
      <c r="B146" s="24"/>
      <c r="C146" s="13"/>
      <c r="D146" s="13"/>
      <c r="E146" s="13"/>
      <c r="F146" s="13"/>
      <c r="G146" s="13"/>
      <c r="H146" s="13"/>
      <c r="I146" s="13"/>
      <c r="J146" s="13" t="str">
        <f aca="false">IF(OR(F146="Não feito",G146="Não feito",I146="Em risco"),"⚠ SIM","")</f>
        <v/>
      </c>
      <c r="K146" s="12"/>
    </row>
    <row r="147" customFormat="false" ht="15" hidden="false" customHeight="false" outlineLevel="0" collapsed="false">
      <c r="A147" s="12"/>
      <c r="B147" s="24"/>
      <c r="C147" s="13"/>
      <c r="D147" s="13"/>
      <c r="E147" s="13"/>
      <c r="F147" s="13"/>
      <c r="G147" s="13"/>
      <c r="H147" s="13"/>
      <c r="I147" s="13"/>
      <c r="J147" s="13" t="str">
        <f aca="false">IF(OR(F147="Não feito",G147="Não feito",I147="Em risco"),"⚠ SIM","")</f>
        <v/>
      </c>
      <c r="K147" s="12"/>
    </row>
    <row r="148" customFormat="false" ht="15" hidden="false" customHeight="false" outlineLevel="0" collapsed="false">
      <c r="A148" s="12"/>
      <c r="B148" s="24"/>
      <c r="C148" s="13"/>
      <c r="D148" s="13"/>
      <c r="E148" s="13"/>
      <c r="F148" s="13"/>
      <c r="G148" s="13"/>
      <c r="H148" s="13"/>
      <c r="I148" s="13"/>
      <c r="J148" s="13" t="str">
        <f aca="false">IF(OR(F148="Não feito",G148="Não feito",I148="Em risco"),"⚠ SIM","")</f>
        <v/>
      </c>
      <c r="K148" s="12"/>
    </row>
    <row r="149" customFormat="false" ht="15" hidden="false" customHeight="false" outlineLevel="0" collapsed="false">
      <c r="A149" s="12"/>
      <c r="B149" s="24"/>
      <c r="C149" s="13"/>
      <c r="D149" s="13"/>
      <c r="E149" s="13"/>
      <c r="F149" s="13"/>
      <c r="G149" s="13"/>
      <c r="H149" s="13"/>
      <c r="I149" s="13"/>
      <c r="J149" s="13" t="str">
        <f aca="false">IF(OR(F149="Não feito",G149="Não feito",I149="Em risco"),"⚠ SIM","")</f>
        <v/>
      </c>
      <c r="K149" s="12"/>
    </row>
    <row r="150" customFormat="false" ht="15" hidden="false" customHeight="false" outlineLevel="0" collapsed="false">
      <c r="A150" s="12"/>
      <c r="B150" s="24"/>
      <c r="C150" s="13"/>
      <c r="D150" s="13"/>
      <c r="E150" s="13"/>
      <c r="F150" s="13"/>
      <c r="G150" s="13"/>
      <c r="H150" s="13"/>
      <c r="I150" s="13"/>
      <c r="J150" s="13" t="str">
        <f aca="false">IF(OR(F150="Não feito",G150="Não feito",I150="Em risco"),"⚠ SIM","")</f>
        <v/>
      </c>
      <c r="K150" s="12"/>
    </row>
    <row r="151" customFormat="false" ht="15" hidden="false" customHeight="false" outlineLevel="0" collapsed="false">
      <c r="A151" s="12"/>
      <c r="B151" s="24"/>
      <c r="C151" s="13"/>
      <c r="D151" s="13"/>
      <c r="E151" s="13"/>
      <c r="F151" s="13"/>
      <c r="G151" s="13"/>
      <c r="H151" s="13"/>
      <c r="I151" s="13"/>
      <c r="J151" s="13" t="str">
        <f aca="false">IF(OR(F151="Não feito",G151="Não feito",I151="Em risco"),"⚠ SIM","")</f>
        <v/>
      </c>
      <c r="K151" s="12"/>
    </row>
    <row r="152" customFormat="false" ht="15" hidden="false" customHeight="false" outlineLevel="0" collapsed="false">
      <c r="A152" s="12"/>
      <c r="B152" s="24"/>
      <c r="C152" s="13"/>
      <c r="D152" s="13"/>
      <c r="E152" s="13"/>
      <c r="F152" s="13"/>
      <c r="G152" s="13"/>
      <c r="H152" s="13"/>
      <c r="I152" s="13"/>
      <c r="J152" s="13" t="str">
        <f aca="false">IF(OR(F152="Não feito",G152="Não feito",I152="Em risco"),"⚠ SIM","")</f>
        <v/>
      </c>
      <c r="K152" s="12"/>
    </row>
    <row r="153" customFormat="false" ht="15" hidden="false" customHeight="false" outlineLevel="0" collapsed="false">
      <c r="A153" s="12"/>
      <c r="B153" s="24"/>
      <c r="C153" s="13"/>
      <c r="D153" s="13"/>
      <c r="E153" s="13"/>
      <c r="F153" s="13"/>
      <c r="G153" s="13"/>
      <c r="H153" s="13"/>
      <c r="I153" s="13"/>
      <c r="J153" s="13" t="str">
        <f aca="false">IF(OR(F153="Não feito",G153="Não feito",I153="Em risco"),"⚠ SIM","")</f>
        <v/>
      </c>
      <c r="K153" s="12"/>
    </row>
    <row r="154" customFormat="false" ht="15" hidden="false" customHeight="false" outlineLevel="0" collapsed="false">
      <c r="A154" s="12"/>
      <c r="B154" s="24"/>
      <c r="C154" s="13"/>
      <c r="D154" s="13"/>
      <c r="E154" s="13"/>
      <c r="F154" s="13"/>
      <c r="G154" s="13"/>
      <c r="H154" s="13"/>
      <c r="I154" s="13"/>
      <c r="J154" s="13" t="str">
        <f aca="false">IF(OR(F154="Não feito",G154="Não feito",I154="Em risco"),"⚠ SIM","")</f>
        <v/>
      </c>
      <c r="K154" s="12"/>
    </row>
    <row r="155" customFormat="false" ht="15" hidden="false" customHeight="false" outlineLevel="0" collapsed="false">
      <c r="A155" s="12"/>
      <c r="B155" s="24"/>
      <c r="C155" s="13"/>
      <c r="D155" s="13"/>
      <c r="E155" s="13"/>
      <c r="F155" s="13"/>
      <c r="G155" s="13"/>
      <c r="H155" s="13"/>
      <c r="I155" s="13"/>
      <c r="J155" s="13" t="str">
        <f aca="false">IF(OR(F155="Não feito",G155="Não feito",I155="Em risco"),"⚠ SIM","")</f>
        <v/>
      </c>
      <c r="K155" s="12"/>
    </row>
    <row r="156" customFormat="false" ht="15" hidden="false" customHeight="false" outlineLevel="0" collapsed="false">
      <c r="A156" s="12"/>
      <c r="B156" s="24"/>
      <c r="C156" s="13"/>
      <c r="D156" s="13"/>
      <c r="E156" s="13"/>
      <c r="F156" s="13"/>
      <c r="G156" s="13"/>
      <c r="H156" s="13"/>
      <c r="I156" s="13"/>
      <c r="J156" s="13" t="str">
        <f aca="false">IF(OR(F156="Não feito",G156="Não feito",I156="Em risco"),"⚠ SIM","")</f>
        <v/>
      </c>
      <c r="K156" s="12"/>
    </row>
    <row r="157" customFormat="false" ht="15" hidden="false" customHeight="false" outlineLevel="0" collapsed="false">
      <c r="A157" s="12"/>
      <c r="B157" s="24"/>
      <c r="C157" s="13"/>
      <c r="D157" s="13"/>
      <c r="E157" s="13"/>
      <c r="F157" s="13"/>
      <c r="G157" s="13"/>
      <c r="H157" s="13"/>
      <c r="I157" s="13"/>
      <c r="J157" s="13" t="str">
        <f aca="false">IF(OR(F157="Não feito",G157="Não feito",I157="Em risco"),"⚠ SIM","")</f>
        <v/>
      </c>
      <c r="K157" s="12"/>
    </row>
    <row r="158" customFormat="false" ht="15" hidden="false" customHeight="false" outlineLevel="0" collapsed="false">
      <c r="A158" s="12"/>
      <c r="B158" s="24"/>
      <c r="C158" s="13"/>
      <c r="D158" s="13"/>
      <c r="E158" s="13"/>
      <c r="F158" s="13"/>
      <c r="G158" s="13"/>
      <c r="H158" s="13"/>
      <c r="I158" s="13"/>
      <c r="J158" s="13" t="str">
        <f aca="false">IF(OR(F158="Não feito",G158="Não feito",I158="Em risco"),"⚠ SIM","")</f>
        <v/>
      </c>
      <c r="K158" s="12"/>
    </row>
    <row r="159" customFormat="false" ht="15" hidden="false" customHeight="false" outlineLevel="0" collapsed="false">
      <c r="A159" s="12"/>
      <c r="B159" s="24"/>
      <c r="C159" s="13"/>
      <c r="D159" s="13"/>
      <c r="E159" s="13"/>
      <c r="F159" s="13"/>
      <c r="G159" s="13"/>
      <c r="H159" s="13"/>
      <c r="I159" s="13"/>
      <c r="J159" s="13" t="str">
        <f aca="false">IF(OR(F159="Não feito",G159="Não feito",I159="Em risco"),"⚠ SIM","")</f>
        <v/>
      </c>
      <c r="K159" s="12"/>
    </row>
    <row r="160" customFormat="false" ht="15" hidden="false" customHeight="false" outlineLevel="0" collapsed="false">
      <c r="A160" s="12"/>
      <c r="B160" s="24"/>
      <c r="C160" s="13"/>
      <c r="D160" s="13"/>
      <c r="E160" s="13"/>
      <c r="F160" s="13"/>
      <c r="G160" s="13"/>
      <c r="H160" s="13"/>
      <c r="I160" s="13"/>
      <c r="J160" s="13" t="str">
        <f aca="false">IF(OR(F160="Não feito",G160="Não feito",I160="Em risco"),"⚠ SIM","")</f>
        <v/>
      </c>
      <c r="K160" s="12"/>
    </row>
    <row r="161" customFormat="false" ht="15" hidden="false" customHeight="false" outlineLevel="0" collapsed="false">
      <c r="A161" s="12"/>
      <c r="B161" s="24"/>
      <c r="C161" s="13"/>
      <c r="D161" s="13"/>
      <c r="E161" s="13"/>
      <c r="F161" s="13"/>
      <c r="G161" s="13"/>
      <c r="H161" s="13"/>
      <c r="I161" s="13"/>
      <c r="J161" s="13" t="str">
        <f aca="false">IF(OR(F161="Não feito",G161="Não feito",I161="Em risco"),"⚠ SIM","")</f>
        <v/>
      </c>
      <c r="K161" s="12"/>
    </row>
    <row r="162" customFormat="false" ht="15" hidden="false" customHeight="false" outlineLevel="0" collapsed="false">
      <c r="A162" s="12"/>
      <c r="B162" s="24"/>
      <c r="C162" s="13"/>
      <c r="D162" s="13"/>
      <c r="E162" s="13"/>
      <c r="F162" s="13"/>
      <c r="G162" s="13"/>
      <c r="H162" s="13"/>
      <c r="I162" s="13"/>
      <c r="J162" s="13" t="str">
        <f aca="false">IF(OR(F162="Não feito",G162="Não feito",I162="Em risco"),"⚠ SIM","")</f>
        <v/>
      </c>
      <c r="K162" s="12"/>
    </row>
    <row r="163" customFormat="false" ht="15" hidden="false" customHeight="false" outlineLevel="0" collapsed="false">
      <c r="A163" s="12"/>
      <c r="B163" s="24"/>
      <c r="C163" s="13"/>
      <c r="D163" s="13"/>
      <c r="E163" s="13"/>
      <c r="F163" s="13"/>
      <c r="G163" s="13"/>
      <c r="H163" s="13"/>
      <c r="I163" s="13"/>
      <c r="J163" s="13" t="str">
        <f aca="false">IF(OR(F163="Não feito",G163="Não feito",I163="Em risco"),"⚠ SIM","")</f>
        <v/>
      </c>
      <c r="K163" s="12"/>
    </row>
    <row r="164" customFormat="false" ht="15" hidden="false" customHeight="false" outlineLevel="0" collapsed="false">
      <c r="A164" s="12"/>
      <c r="B164" s="24"/>
      <c r="C164" s="13"/>
      <c r="D164" s="13"/>
      <c r="E164" s="13"/>
      <c r="F164" s="13"/>
      <c r="G164" s="13"/>
      <c r="H164" s="13"/>
      <c r="I164" s="13"/>
      <c r="J164" s="13" t="str">
        <f aca="false">IF(OR(F164="Não feito",G164="Não feito",I164="Em risco"),"⚠ SIM","")</f>
        <v/>
      </c>
      <c r="K164" s="12"/>
    </row>
    <row r="165" customFormat="false" ht="15" hidden="false" customHeight="false" outlineLevel="0" collapsed="false">
      <c r="A165" s="12"/>
      <c r="B165" s="24"/>
      <c r="C165" s="13"/>
      <c r="D165" s="13"/>
      <c r="E165" s="13"/>
      <c r="F165" s="13"/>
      <c r="G165" s="13"/>
      <c r="H165" s="13"/>
      <c r="I165" s="13"/>
      <c r="J165" s="13" t="str">
        <f aca="false">IF(OR(F165="Não feito",G165="Não feito",I165="Em risco"),"⚠ SIM","")</f>
        <v/>
      </c>
      <c r="K165" s="12"/>
    </row>
    <row r="166" customFormat="false" ht="15" hidden="false" customHeight="false" outlineLevel="0" collapsed="false">
      <c r="A166" s="12"/>
      <c r="B166" s="24"/>
      <c r="C166" s="13"/>
      <c r="D166" s="13"/>
      <c r="E166" s="13"/>
      <c r="F166" s="13"/>
      <c r="G166" s="13"/>
      <c r="H166" s="13"/>
      <c r="I166" s="13"/>
      <c r="J166" s="13" t="str">
        <f aca="false">IF(OR(F166="Não feito",G166="Não feito",I166="Em risco"),"⚠ SIM","")</f>
        <v/>
      </c>
      <c r="K166" s="12"/>
    </row>
    <row r="167" customFormat="false" ht="15" hidden="false" customHeight="false" outlineLevel="0" collapsed="false">
      <c r="A167" s="12"/>
      <c r="B167" s="24"/>
      <c r="C167" s="13"/>
      <c r="D167" s="13"/>
      <c r="E167" s="13"/>
      <c r="F167" s="13"/>
      <c r="G167" s="13"/>
      <c r="H167" s="13"/>
      <c r="I167" s="13"/>
      <c r="J167" s="13" t="str">
        <f aca="false">IF(OR(F167="Não feito",G167="Não feito",I167="Em risco"),"⚠ SIM","")</f>
        <v/>
      </c>
      <c r="K167" s="12"/>
    </row>
    <row r="168" customFormat="false" ht="15" hidden="false" customHeight="false" outlineLevel="0" collapsed="false">
      <c r="A168" s="12"/>
      <c r="B168" s="24"/>
      <c r="C168" s="13"/>
      <c r="D168" s="13"/>
      <c r="E168" s="13"/>
      <c r="F168" s="13"/>
      <c r="G168" s="13"/>
      <c r="H168" s="13"/>
      <c r="I168" s="13"/>
      <c r="J168" s="13" t="str">
        <f aca="false">IF(OR(F168="Não feito",G168="Não feito",I168="Em risco"),"⚠ SIM","")</f>
        <v/>
      </c>
      <c r="K168" s="12"/>
    </row>
    <row r="169" customFormat="false" ht="15" hidden="false" customHeight="false" outlineLevel="0" collapsed="false">
      <c r="A169" s="12"/>
      <c r="B169" s="24"/>
      <c r="C169" s="13"/>
      <c r="D169" s="13"/>
      <c r="E169" s="13"/>
      <c r="F169" s="13"/>
      <c r="G169" s="13"/>
      <c r="H169" s="13"/>
      <c r="I169" s="13"/>
      <c r="J169" s="13" t="str">
        <f aca="false">IF(OR(F169="Não feito",G169="Não feito",I169="Em risco"),"⚠ SIM","")</f>
        <v/>
      </c>
      <c r="K169" s="12"/>
    </row>
    <row r="170" customFormat="false" ht="15" hidden="false" customHeight="false" outlineLevel="0" collapsed="false">
      <c r="A170" s="12"/>
      <c r="B170" s="24"/>
      <c r="C170" s="13"/>
      <c r="D170" s="13"/>
      <c r="E170" s="13"/>
      <c r="F170" s="13"/>
      <c r="G170" s="13"/>
      <c r="H170" s="13"/>
      <c r="I170" s="13"/>
      <c r="J170" s="13" t="str">
        <f aca="false">IF(OR(F170="Não feito",G170="Não feito",I170="Em risco"),"⚠ SIM","")</f>
        <v/>
      </c>
      <c r="K170" s="12"/>
    </row>
    <row r="171" customFormat="false" ht="15" hidden="false" customHeight="false" outlineLevel="0" collapsed="false">
      <c r="A171" s="12"/>
      <c r="B171" s="24"/>
      <c r="C171" s="13"/>
      <c r="D171" s="13"/>
      <c r="E171" s="13"/>
      <c r="F171" s="13"/>
      <c r="G171" s="13"/>
      <c r="H171" s="13"/>
      <c r="I171" s="13"/>
      <c r="J171" s="13" t="str">
        <f aca="false">IF(OR(F171="Não feito",G171="Não feito",I171="Em risco"),"⚠ SIM","")</f>
        <v/>
      </c>
      <c r="K171" s="12"/>
    </row>
    <row r="172" customFormat="false" ht="15" hidden="false" customHeight="false" outlineLevel="0" collapsed="false">
      <c r="A172" s="12"/>
      <c r="B172" s="24"/>
      <c r="C172" s="13"/>
      <c r="D172" s="13"/>
      <c r="E172" s="13"/>
      <c r="F172" s="13"/>
      <c r="G172" s="13"/>
      <c r="H172" s="13"/>
      <c r="I172" s="13"/>
      <c r="J172" s="13" t="str">
        <f aca="false">IF(OR(F172="Não feito",G172="Não feito",I172="Em risco"),"⚠ SIM","")</f>
        <v/>
      </c>
      <c r="K172" s="12"/>
    </row>
    <row r="173" customFormat="false" ht="15" hidden="false" customHeight="false" outlineLevel="0" collapsed="false">
      <c r="A173" s="12"/>
      <c r="B173" s="24"/>
      <c r="C173" s="13"/>
      <c r="D173" s="13"/>
      <c r="E173" s="13"/>
      <c r="F173" s="13"/>
      <c r="G173" s="13"/>
      <c r="H173" s="13"/>
      <c r="I173" s="13"/>
      <c r="J173" s="13" t="str">
        <f aca="false">IF(OR(F173="Não feito",G173="Não feito",I173="Em risco"),"⚠ SIM","")</f>
        <v/>
      </c>
      <c r="K173" s="12"/>
    </row>
    <row r="174" customFormat="false" ht="15" hidden="false" customHeight="false" outlineLevel="0" collapsed="false">
      <c r="A174" s="12"/>
      <c r="B174" s="24"/>
      <c r="C174" s="13"/>
      <c r="D174" s="13"/>
      <c r="E174" s="13"/>
      <c r="F174" s="13"/>
      <c r="G174" s="13"/>
      <c r="H174" s="13"/>
      <c r="I174" s="13"/>
      <c r="J174" s="13" t="str">
        <f aca="false">IF(OR(F174="Não feito",G174="Não feito",I174="Em risco"),"⚠ SIM","")</f>
        <v/>
      </c>
      <c r="K174" s="12"/>
    </row>
    <row r="175" customFormat="false" ht="15" hidden="false" customHeight="false" outlineLevel="0" collapsed="false">
      <c r="A175" s="12"/>
      <c r="B175" s="24"/>
      <c r="C175" s="13"/>
      <c r="D175" s="13"/>
      <c r="E175" s="13"/>
      <c r="F175" s="13"/>
      <c r="G175" s="13"/>
      <c r="H175" s="13"/>
      <c r="I175" s="13"/>
      <c r="J175" s="13" t="str">
        <f aca="false">IF(OR(F175="Não feito",G175="Não feito",I175="Em risco"),"⚠ SIM","")</f>
        <v/>
      </c>
      <c r="K175" s="12"/>
    </row>
    <row r="176" customFormat="false" ht="15" hidden="false" customHeight="false" outlineLevel="0" collapsed="false">
      <c r="A176" s="12"/>
      <c r="B176" s="24"/>
      <c r="C176" s="13"/>
      <c r="D176" s="13"/>
      <c r="E176" s="13"/>
      <c r="F176" s="13"/>
      <c r="G176" s="13"/>
      <c r="H176" s="13"/>
      <c r="I176" s="13"/>
      <c r="J176" s="13" t="str">
        <f aca="false">IF(OR(F176="Não feito",G176="Não feito",I176="Em risco"),"⚠ SIM","")</f>
        <v/>
      </c>
      <c r="K176" s="12"/>
    </row>
    <row r="177" customFormat="false" ht="15" hidden="false" customHeight="false" outlineLevel="0" collapsed="false">
      <c r="A177" s="12"/>
      <c r="B177" s="24"/>
      <c r="C177" s="13"/>
      <c r="D177" s="13"/>
      <c r="E177" s="13"/>
      <c r="F177" s="13"/>
      <c r="G177" s="13"/>
      <c r="H177" s="13"/>
      <c r="I177" s="13"/>
      <c r="J177" s="13" t="str">
        <f aca="false">IF(OR(F177="Não feito",G177="Não feito",I177="Em risco"),"⚠ SIM","")</f>
        <v/>
      </c>
      <c r="K177" s="12"/>
    </row>
    <row r="178" customFormat="false" ht="15" hidden="false" customHeight="false" outlineLevel="0" collapsed="false">
      <c r="A178" s="12"/>
      <c r="B178" s="24"/>
      <c r="C178" s="13"/>
      <c r="D178" s="13"/>
      <c r="E178" s="13"/>
      <c r="F178" s="13"/>
      <c r="G178" s="13"/>
      <c r="H178" s="13"/>
      <c r="I178" s="13"/>
      <c r="J178" s="13" t="str">
        <f aca="false">IF(OR(F178="Não feito",G178="Não feito",I178="Em risco"),"⚠ SIM","")</f>
        <v/>
      </c>
      <c r="K178" s="12"/>
    </row>
    <row r="179" customFormat="false" ht="15" hidden="false" customHeight="false" outlineLevel="0" collapsed="false">
      <c r="A179" s="12"/>
      <c r="B179" s="24"/>
      <c r="C179" s="13"/>
      <c r="D179" s="13"/>
      <c r="E179" s="13"/>
      <c r="F179" s="13"/>
      <c r="G179" s="13"/>
      <c r="H179" s="13"/>
      <c r="I179" s="13"/>
      <c r="J179" s="13" t="str">
        <f aca="false">IF(OR(F179="Não feito",G179="Não feito",I179="Em risco"),"⚠ SIM","")</f>
        <v/>
      </c>
      <c r="K179" s="12"/>
    </row>
    <row r="180" customFormat="false" ht="15" hidden="false" customHeight="false" outlineLevel="0" collapsed="false">
      <c r="A180" s="12"/>
      <c r="B180" s="24"/>
      <c r="C180" s="13"/>
      <c r="D180" s="13"/>
      <c r="E180" s="13"/>
      <c r="F180" s="13"/>
      <c r="G180" s="13"/>
      <c r="H180" s="13"/>
      <c r="I180" s="13"/>
      <c r="J180" s="13" t="str">
        <f aca="false">IF(OR(F180="Não feito",G180="Não feito",I180="Em risco"),"⚠ SIM","")</f>
        <v/>
      </c>
      <c r="K180" s="12"/>
    </row>
    <row r="181" customFormat="false" ht="15" hidden="false" customHeight="false" outlineLevel="0" collapsed="false">
      <c r="A181" s="12"/>
      <c r="B181" s="24"/>
      <c r="C181" s="13"/>
      <c r="D181" s="13"/>
      <c r="E181" s="13"/>
      <c r="F181" s="13"/>
      <c r="G181" s="13"/>
      <c r="H181" s="13"/>
      <c r="I181" s="13"/>
      <c r="J181" s="13" t="str">
        <f aca="false">IF(OR(F181="Não feito",G181="Não feito",I181="Em risco"),"⚠ SIM","")</f>
        <v/>
      </c>
      <c r="K181" s="12"/>
    </row>
    <row r="182" customFormat="false" ht="15" hidden="false" customHeight="false" outlineLevel="0" collapsed="false">
      <c r="A182" s="12"/>
      <c r="B182" s="24"/>
      <c r="C182" s="13"/>
      <c r="D182" s="13"/>
      <c r="E182" s="13"/>
      <c r="F182" s="13"/>
      <c r="G182" s="13"/>
      <c r="H182" s="13"/>
      <c r="I182" s="13"/>
      <c r="J182" s="13" t="str">
        <f aca="false">IF(OR(F182="Não feito",G182="Não feito",I182="Em risco"),"⚠ SIM","")</f>
        <v/>
      </c>
      <c r="K182" s="12"/>
    </row>
    <row r="183" customFormat="false" ht="15" hidden="false" customHeight="false" outlineLevel="0" collapsed="false">
      <c r="A183" s="12"/>
      <c r="B183" s="24"/>
      <c r="C183" s="13"/>
      <c r="D183" s="13"/>
      <c r="E183" s="13"/>
      <c r="F183" s="13"/>
      <c r="G183" s="13"/>
      <c r="H183" s="13"/>
      <c r="I183" s="13"/>
      <c r="J183" s="13" t="str">
        <f aca="false">IF(OR(F183="Não feito",G183="Não feito",I183="Em risco"),"⚠ SIM","")</f>
        <v/>
      </c>
      <c r="K183" s="12"/>
    </row>
    <row r="184" customFormat="false" ht="15" hidden="false" customHeight="false" outlineLevel="0" collapsed="false">
      <c r="A184" s="12"/>
      <c r="B184" s="24"/>
      <c r="C184" s="13"/>
      <c r="D184" s="13"/>
      <c r="E184" s="13"/>
      <c r="F184" s="13"/>
      <c r="G184" s="13"/>
      <c r="H184" s="13"/>
      <c r="I184" s="13"/>
      <c r="J184" s="13" t="str">
        <f aca="false">IF(OR(F184="Não feito",G184="Não feito",I184="Em risco"),"⚠ SIM","")</f>
        <v/>
      </c>
      <c r="K184" s="12"/>
    </row>
    <row r="185" customFormat="false" ht="15" hidden="false" customHeight="false" outlineLevel="0" collapsed="false">
      <c r="A185" s="12"/>
      <c r="B185" s="24"/>
      <c r="C185" s="13"/>
      <c r="D185" s="13"/>
      <c r="E185" s="13"/>
      <c r="F185" s="13"/>
      <c r="G185" s="13"/>
      <c r="H185" s="13"/>
      <c r="I185" s="13"/>
      <c r="J185" s="13" t="str">
        <f aca="false">IF(OR(F185="Não feito",G185="Não feito",I185="Em risco"),"⚠ SIM","")</f>
        <v/>
      </c>
      <c r="K185" s="12"/>
    </row>
    <row r="186" customFormat="false" ht="15" hidden="false" customHeight="false" outlineLevel="0" collapsed="false">
      <c r="A186" s="12"/>
      <c r="B186" s="24"/>
      <c r="C186" s="13"/>
      <c r="D186" s="13"/>
      <c r="E186" s="13"/>
      <c r="F186" s="13"/>
      <c r="G186" s="13"/>
      <c r="H186" s="13"/>
      <c r="I186" s="13"/>
      <c r="J186" s="13" t="str">
        <f aca="false">IF(OR(F186="Não feito",G186="Não feito",I186="Em risco"),"⚠ SIM","")</f>
        <v/>
      </c>
      <c r="K186" s="12"/>
    </row>
    <row r="187" customFormat="false" ht="15" hidden="false" customHeight="false" outlineLevel="0" collapsed="false">
      <c r="A187" s="12"/>
      <c r="B187" s="24"/>
      <c r="C187" s="13"/>
      <c r="D187" s="13"/>
      <c r="E187" s="13"/>
      <c r="F187" s="13"/>
      <c r="G187" s="13"/>
      <c r="H187" s="13"/>
      <c r="I187" s="13"/>
      <c r="J187" s="13" t="str">
        <f aca="false">IF(OR(F187="Não feito",G187="Não feito",I187="Em risco"),"⚠ SIM","")</f>
        <v/>
      </c>
      <c r="K187" s="12"/>
    </row>
    <row r="188" customFormat="false" ht="15" hidden="false" customHeight="false" outlineLevel="0" collapsed="false">
      <c r="A188" s="12"/>
      <c r="B188" s="24"/>
      <c r="C188" s="13"/>
      <c r="D188" s="13"/>
      <c r="E188" s="13"/>
      <c r="F188" s="13"/>
      <c r="G188" s="13"/>
      <c r="H188" s="13"/>
      <c r="I188" s="13"/>
      <c r="J188" s="13" t="str">
        <f aca="false">IF(OR(F188="Não feito",G188="Não feito",I188="Em risco"),"⚠ SIM","")</f>
        <v/>
      </c>
      <c r="K188" s="12"/>
    </row>
    <row r="189" customFormat="false" ht="15" hidden="false" customHeight="false" outlineLevel="0" collapsed="false">
      <c r="A189" s="12"/>
      <c r="B189" s="24"/>
      <c r="C189" s="13"/>
      <c r="D189" s="13"/>
      <c r="E189" s="13"/>
      <c r="F189" s="13"/>
      <c r="G189" s="13"/>
      <c r="H189" s="13"/>
      <c r="I189" s="13"/>
      <c r="J189" s="13" t="str">
        <f aca="false">IF(OR(F189="Não feito",G189="Não feito",I189="Em risco"),"⚠ SIM","")</f>
        <v/>
      </c>
      <c r="K189" s="12"/>
    </row>
    <row r="190" customFormat="false" ht="15" hidden="false" customHeight="false" outlineLevel="0" collapsed="false">
      <c r="A190" s="12"/>
      <c r="B190" s="24"/>
      <c r="C190" s="13"/>
      <c r="D190" s="13"/>
      <c r="E190" s="13"/>
      <c r="F190" s="13"/>
      <c r="G190" s="13"/>
      <c r="H190" s="13"/>
      <c r="I190" s="13"/>
      <c r="J190" s="13" t="str">
        <f aca="false">IF(OR(F190="Não feito",G190="Não feito",I190="Em risco"),"⚠ SIM","")</f>
        <v/>
      </c>
      <c r="K190" s="12"/>
    </row>
    <row r="191" customFormat="false" ht="15" hidden="false" customHeight="false" outlineLevel="0" collapsed="false">
      <c r="A191" s="12"/>
      <c r="B191" s="24"/>
      <c r="C191" s="13"/>
      <c r="D191" s="13"/>
      <c r="E191" s="13"/>
      <c r="F191" s="13"/>
      <c r="G191" s="13"/>
      <c r="H191" s="13"/>
      <c r="I191" s="13"/>
      <c r="J191" s="13" t="str">
        <f aca="false">IF(OR(F191="Não feito",G191="Não feito",I191="Em risco"),"⚠ SIM","")</f>
        <v/>
      </c>
      <c r="K191" s="12"/>
    </row>
    <row r="192" customFormat="false" ht="15" hidden="false" customHeight="false" outlineLevel="0" collapsed="false">
      <c r="A192" s="12"/>
      <c r="B192" s="24"/>
      <c r="C192" s="13"/>
      <c r="D192" s="13"/>
      <c r="E192" s="13"/>
      <c r="F192" s="13"/>
      <c r="G192" s="13"/>
      <c r="H192" s="13"/>
      <c r="I192" s="13"/>
      <c r="J192" s="13" t="str">
        <f aca="false">IF(OR(F192="Não feito",G192="Não feito",I192="Em risco"),"⚠ SIM","")</f>
        <v/>
      </c>
      <c r="K192" s="12"/>
    </row>
    <row r="193" customFormat="false" ht="15" hidden="false" customHeight="false" outlineLevel="0" collapsed="false">
      <c r="A193" s="12"/>
      <c r="B193" s="24"/>
      <c r="C193" s="13"/>
      <c r="D193" s="13"/>
      <c r="E193" s="13"/>
      <c r="F193" s="13"/>
      <c r="G193" s="13"/>
      <c r="H193" s="13"/>
      <c r="I193" s="13"/>
      <c r="J193" s="13" t="str">
        <f aca="false">IF(OR(F193="Não feito",G193="Não feito",I193="Em risco"),"⚠ SIM","")</f>
        <v/>
      </c>
      <c r="K193" s="12"/>
    </row>
    <row r="194" customFormat="false" ht="15" hidden="false" customHeight="false" outlineLevel="0" collapsed="false">
      <c r="A194" s="12"/>
      <c r="B194" s="24"/>
      <c r="C194" s="13"/>
      <c r="D194" s="13"/>
      <c r="E194" s="13"/>
      <c r="F194" s="13"/>
      <c r="G194" s="13"/>
      <c r="H194" s="13"/>
      <c r="I194" s="13"/>
      <c r="J194" s="13" t="str">
        <f aca="false">IF(OR(F194="Não feito",G194="Não feito",I194="Em risco"),"⚠ SIM","")</f>
        <v/>
      </c>
      <c r="K194" s="12"/>
    </row>
    <row r="195" customFormat="false" ht="15" hidden="false" customHeight="false" outlineLevel="0" collapsed="false">
      <c r="A195" s="12"/>
      <c r="B195" s="24"/>
      <c r="C195" s="13"/>
      <c r="D195" s="13"/>
      <c r="E195" s="13"/>
      <c r="F195" s="13"/>
      <c r="G195" s="13"/>
      <c r="H195" s="13"/>
      <c r="I195" s="13"/>
      <c r="J195" s="13" t="str">
        <f aca="false">IF(OR(F195="Não feito",G195="Não feito",I195="Em risco"),"⚠ SIM","")</f>
        <v/>
      </c>
      <c r="K195" s="12"/>
    </row>
    <row r="196" customFormat="false" ht="15" hidden="false" customHeight="false" outlineLevel="0" collapsed="false">
      <c r="A196" s="12"/>
      <c r="B196" s="24"/>
      <c r="C196" s="13"/>
      <c r="D196" s="13"/>
      <c r="E196" s="13"/>
      <c r="F196" s="13"/>
      <c r="G196" s="13"/>
      <c r="H196" s="13"/>
      <c r="I196" s="13"/>
      <c r="J196" s="13" t="str">
        <f aca="false">IF(OR(F196="Não feito",G196="Não feito",I196="Em risco"),"⚠ SIM","")</f>
        <v/>
      </c>
      <c r="K196" s="12"/>
    </row>
    <row r="197" customFormat="false" ht="15" hidden="false" customHeight="false" outlineLevel="0" collapsed="false">
      <c r="A197" s="12"/>
      <c r="B197" s="24"/>
      <c r="C197" s="13"/>
      <c r="D197" s="13"/>
      <c r="E197" s="13"/>
      <c r="F197" s="13"/>
      <c r="G197" s="13"/>
      <c r="H197" s="13"/>
      <c r="I197" s="13"/>
      <c r="J197" s="13" t="str">
        <f aca="false">IF(OR(F197="Não feito",G197="Não feito",I197="Em risco"),"⚠ SIM","")</f>
        <v/>
      </c>
      <c r="K197" s="12"/>
    </row>
    <row r="198" customFormat="false" ht="15" hidden="false" customHeight="false" outlineLevel="0" collapsed="false">
      <c r="A198" s="12"/>
      <c r="B198" s="24"/>
      <c r="C198" s="13"/>
      <c r="D198" s="13"/>
      <c r="E198" s="13"/>
      <c r="F198" s="13"/>
      <c r="G198" s="13"/>
      <c r="H198" s="13"/>
      <c r="I198" s="13"/>
      <c r="J198" s="13" t="str">
        <f aca="false">IF(OR(F198="Não feito",G198="Não feito",I198="Em risco"),"⚠ SIM","")</f>
        <v/>
      </c>
      <c r="K198" s="12"/>
    </row>
    <row r="199" customFormat="false" ht="15" hidden="false" customHeight="false" outlineLevel="0" collapsed="false">
      <c r="A199" s="12"/>
      <c r="B199" s="24"/>
      <c r="C199" s="13"/>
      <c r="D199" s="13"/>
      <c r="E199" s="13"/>
      <c r="F199" s="13"/>
      <c r="G199" s="13"/>
      <c r="H199" s="13"/>
      <c r="I199" s="13"/>
      <c r="J199" s="13" t="str">
        <f aca="false">IF(OR(F199="Não feito",G199="Não feito",I199="Em risco"),"⚠ SIM","")</f>
        <v/>
      </c>
      <c r="K199" s="12"/>
    </row>
  </sheetData>
  <mergeCells count="1">
    <mergeCell ref="A1:K1"/>
  </mergeCells>
  <conditionalFormatting sqref="J3:J199">
    <cfRule type="cellIs" priority="2" operator="equal" aboveAverage="0" equalAverage="0" bottom="0" percent="0" rank="0" text="" dxfId="2">
      <formula>"⚠ SIM"</formula>
    </cfRule>
  </conditionalFormatting>
  <conditionalFormatting sqref="F3:H199">
    <cfRule type="cellIs" priority="3" operator="equal" aboveAverage="0" equalAverage="0" bottom="0" percent="0" rank="0" text="" dxfId="6">
      <formula>"Não feito"</formula>
    </cfRule>
    <cfRule type="cellIs" priority="4" operator="equal" aboveAverage="0" equalAverage="0" bottom="0" percent="0" rank="0" text="" dxfId="7">
      <formula>"Feito"</formula>
    </cfRule>
  </conditionalFormatting>
  <dataValidations count="5">
    <dataValidation allowBlank="true" errorStyle="stop" operator="between" showDropDown="false" showErrorMessage="false" showInputMessage="false" sqref="F3:H199" type="list">
      <formula1>"Feito,Não feito,Não aplicável"</formula1>
      <formula2>0</formula2>
    </dataValidation>
    <dataValidation allowBlank="true" errorStyle="stop" operator="between" showDropDown="false" showErrorMessage="false" showInputMessage="false" sqref="I3:I199" type="list">
      <formula1>"Ativo,Em risco,Cancelado"</formula1>
      <formula2>0</formula2>
    </dataValidation>
    <dataValidation allowBlank="true" errorStyle="stop" operator="between" showDropDown="false" showErrorMessage="false" showInputMessage="false" sqref="D3:D199" type="list">
      <formula1>'14_Equipa'!$A$3:$A$5</formula1>
      <formula2>0</formula2>
    </dataValidation>
    <dataValidation allowBlank="true" errorStyle="stop" operator="between" showDropDown="false" showErrorMessage="false" showInputMessage="false" sqref="C3:C199" type="list">
      <formula1>'14_Equipa'!$B$3:$B$5</formula1>
      <formula2>0</formula2>
    </dataValidation>
    <dataValidation allowBlank="true" errorStyle="stop" operator="between" showDropDown="false" showErrorMessage="false" showInputMessage="false" sqref="E3:E199" type="list">
      <formula1>"ONE,OFFPEAK,Outro"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21" t="s">
        <v>117</v>
      </c>
      <c r="B1" s="21"/>
      <c r="C1" s="21"/>
      <c r="D1" s="21"/>
      <c r="E1" s="21"/>
      <c r="F1" s="21"/>
      <c r="G1" s="21"/>
      <c r="H1" s="21"/>
    </row>
    <row r="2" customFormat="false" ht="27.75" hidden="false" customHeight="true" outlineLevel="0" collapsed="false">
      <c r="A2" s="11" t="s">
        <v>34</v>
      </c>
      <c r="B2" s="11" t="s">
        <v>19</v>
      </c>
      <c r="C2" s="11" t="s">
        <v>118</v>
      </c>
      <c r="D2" s="11" t="s">
        <v>119</v>
      </c>
      <c r="E2" s="11" t="s">
        <v>120</v>
      </c>
      <c r="F2" s="11" t="s">
        <v>121</v>
      </c>
      <c r="G2" s="11" t="s">
        <v>122</v>
      </c>
      <c r="H2" s="11" t="s">
        <v>36</v>
      </c>
    </row>
    <row r="3" customFormat="false" ht="15" hidden="false" customHeight="false" outlineLevel="0" collapsed="false">
      <c r="A3" s="12"/>
      <c r="B3" s="13"/>
      <c r="C3" s="30"/>
      <c r="D3" s="13"/>
      <c r="E3" s="24"/>
      <c r="F3" s="13"/>
      <c r="G3" s="13"/>
      <c r="H3" s="13"/>
    </row>
    <row r="4" customFormat="false" ht="15" hidden="false" customHeight="false" outlineLevel="0" collapsed="false">
      <c r="A4" s="12"/>
      <c r="B4" s="13"/>
      <c r="C4" s="30"/>
      <c r="D4" s="13"/>
      <c r="E4" s="24"/>
      <c r="F4" s="13"/>
      <c r="G4" s="13"/>
      <c r="H4" s="13"/>
    </row>
    <row r="5" customFormat="false" ht="15" hidden="false" customHeight="false" outlineLevel="0" collapsed="false">
      <c r="A5" s="12"/>
      <c r="B5" s="13"/>
      <c r="C5" s="30"/>
      <c r="D5" s="13"/>
      <c r="E5" s="24"/>
      <c r="F5" s="13"/>
      <c r="G5" s="13"/>
      <c r="H5" s="13"/>
    </row>
    <row r="6" customFormat="false" ht="15" hidden="false" customHeight="false" outlineLevel="0" collapsed="false">
      <c r="A6" s="12"/>
      <c r="B6" s="13"/>
      <c r="C6" s="30"/>
      <c r="D6" s="13"/>
      <c r="E6" s="24"/>
      <c r="F6" s="13"/>
      <c r="G6" s="13"/>
      <c r="H6" s="13"/>
    </row>
    <row r="7" customFormat="false" ht="15" hidden="false" customHeight="false" outlineLevel="0" collapsed="false">
      <c r="A7" s="12"/>
      <c r="B7" s="13"/>
      <c r="C7" s="30"/>
      <c r="D7" s="13"/>
      <c r="E7" s="24"/>
      <c r="F7" s="13"/>
      <c r="G7" s="13"/>
      <c r="H7" s="13"/>
    </row>
    <row r="8" customFormat="false" ht="15" hidden="false" customHeight="false" outlineLevel="0" collapsed="false">
      <c r="A8" s="12"/>
      <c r="B8" s="13"/>
      <c r="C8" s="30"/>
      <c r="D8" s="13"/>
      <c r="E8" s="24"/>
      <c r="F8" s="13"/>
      <c r="G8" s="13"/>
      <c r="H8" s="13"/>
    </row>
    <row r="9" customFormat="false" ht="15" hidden="false" customHeight="false" outlineLevel="0" collapsed="false">
      <c r="A9" s="12"/>
      <c r="B9" s="13"/>
      <c r="C9" s="30"/>
      <c r="D9" s="13"/>
      <c r="E9" s="24"/>
      <c r="F9" s="13"/>
      <c r="G9" s="13"/>
      <c r="H9" s="13"/>
    </row>
    <row r="10" customFormat="false" ht="15" hidden="false" customHeight="false" outlineLevel="0" collapsed="false">
      <c r="A10" s="12"/>
      <c r="B10" s="13"/>
      <c r="C10" s="30"/>
      <c r="D10" s="13"/>
      <c r="E10" s="24"/>
      <c r="F10" s="13"/>
      <c r="G10" s="13"/>
      <c r="H10" s="13"/>
    </row>
    <row r="11" customFormat="false" ht="15" hidden="false" customHeight="false" outlineLevel="0" collapsed="false">
      <c r="A11" s="12"/>
      <c r="B11" s="13"/>
      <c r="C11" s="30"/>
      <c r="D11" s="13"/>
      <c r="E11" s="24"/>
      <c r="F11" s="13"/>
      <c r="G11" s="13"/>
      <c r="H11" s="13"/>
    </row>
    <row r="12" customFormat="false" ht="15" hidden="false" customHeight="false" outlineLevel="0" collapsed="false">
      <c r="A12" s="12"/>
      <c r="B12" s="13"/>
      <c r="C12" s="30"/>
      <c r="D12" s="13"/>
      <c r="E12" s="24"/>
      <c r="F12" s="13"/>
      <c r="G12" s="13"/>
      <c r="H12" s="13"/>
    </row>
    <row r="13" customFormat="false" ht="15" hidden="false" customHeight="false" outlineLevel="0" collapsed="false">
      <c r="A13" s="12"/>
      <c r="B13" s="13"/>
      <c r="C13" s="30"/>
      <c r="D13" s="13"/>
      <c r="E13" s="24"/>
      <c r="F13" s="13"/>
      <c r="G13" s="13"/>
      <c r="H13" s="13"/>
    </row>
    <row r="14" customFormat="false" ht="15" hidden="false" customHeight="false" outlineLevel="0" collapsed="false">
      <c r="A14" s="12"/>
      <c r="B14" s="13"/>
      <c r="C14" s="30"/>
      <c r="D14" s="13"/>
      <c r="E14" s="24"/>
      <c r="F14" s="13"/>
      <c r="G14" s="13"/>
      <c r="H14" s="13"/>
    </row>
    <row r="15" customFormat="false" ht="15" hidden="false" customHeight="false" outlineLevel="0" collapsed="false">
      <c r="A15" s="12"/>
      <c r="B15" s="13"/>
      <c r="C15" s="30"/>
      <c r="D15" s="13"/>
      <c r="E15" s="24"/>
      <c r="F15" s="13"/>
      <c r="G15" s="13"/>
      <c r="H15" s="13"/>
    </row>
    <row r="16" customFormat="false" ht="15" hidden="false" customHeight="false" outlineLevel="0" collapsed="false">
      <c r="A16" s="12"/>
      <c r="B16" s="13"/>
      <c r="C16" s="30"/>
      <c r="D16" s="13"/>
      <c r="E16" s="24"/>
      <c r="F16" s="13"/>
      <c r="G16" s="13"/>
      <c r="H16" s="13"/>
    </row>
    <row r="17" customFormat="false" ht="15" hidden="false" customHeight="false" outlineLevel="0" collapsed="false">
      <c r="A17" s="12"/>
      <c r="B17" s="13"/>
      <c r="C17" s="30"/>
      <c r="D17" s="13"/>
      <c r="E17" s="24"/>
      <c r="F17" s="13"/>
      <c r="G17" s="13"/>
      <c r="H17" s="13"/>
    </row>
    <row r="18" customFormat="false" ht="15" hidden="false" customHeight="false" outlineLevel="0" collapsed="false">
      <c r="A18" s="12"/>
      <c r="B18" s="13"/>
      <c r="C18" s="30"/>
      <c r="D18" s="13"/>
      <c r="E18" s="24"/>
      <c r="F18" s="13"/>
      <c r="G18" s="13"/>
      <c r="H18" s="13"/>
    </row>
    <row r="19" customFormat="false" ht="15" hidden="false" customHeight="false" outlineLevel="0" collapsed="false">
      <c r="A19" s="12"/>
      <c r="B19" s="13"/>
      <c r="C19" s="30"/>
      <c r="D19" s="13"/>
      <c r="E19" s="24"/>
      <c r="F19" s="13"/>
      <c r="G19" s="13"/>
      <c r="H19" s="13"/>
    </row>
    <row r="20" customFormat="false" ht="15" hidden="false" customHeight="false" outlineLevel="0" collapsed="false">
      <c r="A20" s="12"/>
      <c r="B20" s="13"/>
      <c r="C20" s="30"/>
      <c r="D20" s="13"/>
      <c r="E20" s="24"/>
      <c r="F20" s="13"/>
      <c r="G20" s="13"/>
      <c r="H20" s="13"/>
    </row>
    <row r="21" customFormat="false" ht="15" hidden="false" customHeight="false" outlineLevel="0" collapsed="false">
      <c r="A21" s="12"/>
      <c r="B21" s="13"/>
      <c r="C21" s="30"/>
      <c r="D21" s="13"/>
      <c r="E21" s="24"/>
      <c r="F21" s="13"/>
      <c r="G21" s="13"/>
      <c r="H21" s="13"/>
    </row>
    <row r="22" customFormat="false" ht="15" hidden="false" customHeight="false" outlineLevel="0" collapsed="false">
      <c r="A22" s="12"/>
      <c r="B22" s="13"/>
      <c r="C22" s="30"/>
      <c r="D22" s="13"/>
      <c r="E22" s="24"/>
      <c r="F22" s="13"/>
      <c r="G22" s="13"/>
      <c r="H22" s="13"/>
    </row>
    <row r="23" customFormat="false" ht="15" hidden="false" customHeight="false" outlineLevel="0" collapsed="false">
      <c r="A23" s="12"/>
      <c r="B23" s="13"/>
      <c r="C23" s="30"/>
      <c r="D23" s="13"/>
      <c r="E23" s="24"/>
      <c r="F23" s="13"/>
      <c r="G23" s="13"/>
      <c r="H23" s="13"/>
    </row>
    <row r="24" customFormat="false" ht="15" hidden="false" customHeight="false" outlineLevel="0" collapsed="false">
      <c r="A24" s="12"/>
      <c r="B24" s="13"/>
      <c r="C24" s="30"/>
      <c r="D24" s="13"/>
      <c r="E24" s="24"/>
      <c r="F24" s="13"/>
      <c r="G24" s="13"/>
      <c r="H24" s="13"/>
    </row>
    <row r="25" customFormat="false" ht="15" hidden="false" customHeight="false" outlineLevel="0" collapsed="false">
      <c r="A25" s="12"/>
      <c r="B25" s="13"/>
      <c r="C25" s="30"/>
      <c r="D25" s="13"/>
      <c r="E25" s="24"/>
      <c r="F25" s="13"/>
      <c r="G25" s="13"/>
      <c r="H25" s="13"/>
    </row>
    <row r="26" customFormat="false" ht="15" hidden="false" customHeight="false" outlineLevel="0" collapsed="false">
      <c r="A26" s="12"/>
      <c r="B26" s="13"/>
      <c r="C26" s="30"/>
      <c r="D26" s="13"/>
      <c r="E26" s="24"/>
      <c r="F26" s="13"/>
      <c r="G26" s="13"/>
      <c r="H26" s="13"/>
    </row>
    <row r="27" customFormat="false" ht="15" hidden="false" customHeight="false" outlineLevel="0" collapsed="false">
      <c r="A27" s="12"/>
      <c r="B27" s="13"/>
      <c r="C27" s="30"/>
      <c r="D27" s="13"/>
      <c r="E27" s="24"/>
      <c r="F27" s="13"/>
      <c r="G27" s="13"/>
      <c r="H27" s="13"/>
    </row>
    <row r="28" customFormat="false" ht="15" hidden="false" customHeight="false" outlineLevel="0" collapsed="false">
      <c r="A28" s="12"/>
      <c r="B28" s="13"/>
      <c r="C28" s="30"/>
      <c r="D28" s="13"/>
      <c r="E28" s="24"/>
      <c r="F28" s="13"/>
      <c r="G28" s="13"/>
      <c r="H28" s="13"/>
    </row>
    <row r="29" customFormat="false" ht="15" hidden="false" customHeight="false" outlineLevel="0" collapsed="false">
      <c r="A29" s="12"/>
      <c r="B29" s="13"/>
      <c r="C29" s="30"/>
      <c r="D29" s="13"/>
      <c r="E29" s="24"/>
      <c r="F29" s="13"/>
      <c r="G29" s="13"/>
      <c r="H29" s="13"/>
    </row>
    <row r="30" customFormat="false" ht="15" hidden="false" customHeight="false" outlineLevel="0" collapsed="false">
      <c r="A30" s="12"/>
      <c r="B30" s="13"/>
      <c r="C30" s="30"/>
      <c r="D30" s="13"/>
      <c r="E30" s="24"/>
      <c r="F30" s="13"/>
      <c r="G30" s="13"/>
      <c r="H30" s="13"/>
    </row>
    <row r="31" customFormat="false" ht="15" hidden="false" customHeight="false" outlineLevel="0" collapsed="false">
      <c r="A31" s="12"/>
      <c r="B31" s="13"/>
      <c r="C31" s="30"/>
      <c r="D31" s="13"/>
      <c r="E31" s="24"/>
      <c r="F31" s="13"/>
      <c r="G31" s="13"/>
      <c r="H31" s="13"/>
    </row>
    <row r="32" customFormat="false" ht="15" hidden="false" customHeight="false" outlineLevel="0" collapsed="false">
      <c r="A32" s="12"/>
      <c r="B32" s="13"/>
      <c r="C32" s="30"/>
      <c r="D32" s="13"/>
      <c r="E32" s="24"/>
      <c r="F32" s="13"/>
      <c r="G32" s="13"/>
      <c r="H32" s="13"/>
    </row>
    <row r="33" customFormat="false" ht="15" hidden="false" customHeight="false" outlineLevel="0" collapsed="false">
      <c r="A33" s="12"/>
      <c r="B33" s="13"/>
      <c r="C33" s="30"/>
      <c r="D33" s="13"/>
      <c r="E33" s="24"/>
      <c r="F33" s="13"/>
      <c r="G33" s="13"/>
      <c r="H33" s="13"/>
    </row>
    <row r="34" customFormat="false" ht="15" hidden="false" customHeight="false" outlineLevel="0" collapsed="false">
      <c r="A34" s="12"/>
      <c r="B34" s="13"/>
      <c r="C34" s="30"/>
      <c r="D34" s="13"/>
      <c r="E34" s="24"/>
      <c r="F34" s="13"/>
      <c r="G34" s="13"/>
      <c r="H34" s="13"/>
    </row>
    <row r="35" customFormat="false" ht="15" hidden="false" customHeight="false" outlineLevel="0" collapsed="false">
      <c r="A35" s="12"/>
      <c r="B35" s="13"/>
      <c r="C35" s="30"/>
      <c r="D35" s="13"/>
      <c r="E35" s="24"/>
      <c r="F35" s="13"/>
      <c r="G35" s="13"/>
      <c r="H35" s="13"/>
    </row>
    <row r="36" customFormat="false" ht="15" hidden="false" customHeight="false" outlineLevel="0" collapsed="false">
      <c r="A36" s="12"/>
      <c r="B36" s="13"/>
      <c r="C36" s="30"/>
      <c r="D36" s="13"/>
      <c r="E36" s="24"/>
      <c r="F36" s="13"/>
      <c r="G36" s="13"/>
      <c r="H36" s="13"/>
    </row>
    <row r="37" customFormat="false" ht="15" hidden="false" customHeight="false" outlineLevel="0" collapsed="false">
      <c r="A37" s="12"/>
      <c r="B37" s="13"/>
      <c r="C37" s="30"/>
      <c r="D37" s="13"/>
      <c r="E37" s="24"/>
      <c r="F37" s="13"/>
      <c r="G37" s="13"/>
      <c r="H37" s="13"/>
    </row>
    <row r="38" customFormat="false" ht="15" hidden="false" customHeight="false" outlineLevel="0" collapsed="false">
      <c r="A38" s="12"/>
      <c r="B38" s="13"/>
      <c r="C38" s="30"/>
      <c r="D38" s="13"/>
      <c r="E38" s="24"/>
      <c r="F38" s="13"/>
      <c r="G38" s="13"/>
      <c r="H38" s="13"/>
    </row>
    <row r="39" customFormat="false" ht="15" hidden="false" customHeight="false" outlineLevel="0" collapsed="false">
      <c r="A39" s="12"/>
      <c r="B39" s="13"/>
      <c r="C39" s="30"/>
      <c r="D39" s="13"/>
      <c r="E39" s="24"/>
      <c r="F39" s="13"/>
      <c r="G39" s="13"/>
      <c r="H39" s="13"/>
    </row>
    <row r="40" customFormat="false" ht="15" hidden="false" customHeight="false" outlineLevel="0" collapsed="false">
      <c r="A40" s="12"/>
      <c r="B40" s="13"/>
      <c r="C40" s="30"/>
      <c r="D40" s="13"/>
      <c r="E40" s="24"/>
      <c r="F40" s="13"/>
      <c r="G40" s="13"/>
      <c r="H40" s="13"/>
    </row>
    <row r="41" customFormat="false" ht="15" hidden="false" customHeight="false" outlineLevel="0" collapsed="false">
      <c r="A41" s="12"/>
      <c r="B41" s="13"/>
      <c r="C41" s="30"/>
      <c r="D41" s="13"/>
      <c r="E41" s="24"/>
      <c r="F41" s="13"/>
      <c r="G41" s="13"/>
      <c r="H41" s="13"/>
    </row>
    <row r="42" customFormat="false" ht="15" hidden="false" customHeight="false" outlineLevel="0" collapsed="false">
      <c r="A42" s="12"/>
      <c r="B42" s="13"/>
      <c r="C42" s="30"/>
      <c r="D42" s="13"/>
      <c r="E42" s="24"/>
      <c r="F42" s="13"/>
      <c r="G42" s="13"/>
      <c r="H42" s="13"/>
    </row>
    <row r="43" customFormat="false" ht="15" hidden="false" customHeight="false" outlineLevel="0" collapsed="false">
      <c r="A43" s="12"/>
      <c r="B43" s="13"/>
      <c r="C43" s="30"/>
      <c r="D43" s="13"/>
      <c r="E43" s="24"/>
      <c r="F43" s="13"/>
      <c r="G43" s="13"/>
      <c r="H43" s="13"/>
    </row>
    <row r="44" customFormat="false" ht="15" hidden="false" customHeight="false" outlineLevel="0" collapsed="false">
      <c r="A44" s="12"/>
      <c r="B44" s="13"/>
      <c r="C44" s="30"/>
      <c r="D44" s="13"/>
      <c r="E44" s="24"/>
      <c r="F44" s="13"/>
      <c r="G44" s="13"/>
      <c r="H44" s="13"/>
    </row>
    <row r="45" customFormat="false" ht="15" hidden="false" customHeight="false" outlineLevel="0" collapsed="false">
      <c r="A45" s="12"/>
      <c r="B45" s="13"/>
      <c r="C45" s="30"/>
      <c r="D45" s="13"/>
      <c r="E45" s="24"/>
      <c r="F45" s="13"/>
      <c r="G45" s="13"/>
      <c r="H45" s="13"/>
    </row>
    <row r="46" customFormat="false" ht="15" hidden="false" customHeight="false" outlineLevel="0" collapsed="false">
      <c r="A46" s="12"/>
      <c r="B46" s="13"/>
      <c r="C46" s="30"/>
      <c r="D46" s="13"/>
      <c r="E46" s="24"/>
      <c r="F46" s="13"/>
      <c r="G46" s="13"/>
      <c r="H46" s="13"/>
    </row>
    <row r="47" customFormat="false" ht="15" hidden="false" customHeight="false" outlineLevel="0" collapsed="false">
      <c r="A47" s="12"/>
      <c r="B47" s="13"/>
      <c r="C47" s="30"/>
      <c r="D47" s="13"/>
      <c r="E47" s="24"/>
      <c r="F47" s="13"/>
      <c r="G47" s="13"/>
      <c r="H47" s="13"/>
    </row>
    <row r="48" customFormat="false" ht="15" hidden="false" customHeight="false" outlineLevel="0" collapsed="false">
      <c r="A48" s="12"/>
      <c r="B48" s="13"/>
      <c r="C48" s="30"/>
      <c r="D48" s="13"/>
      <c r="E48" s="24"/>
      <c r="F48" s="13"/>
      <c r="G48" s="13"/>
      <c r="H48" s="13"/>
    </row>
    <row r="49" customFormat="false" ht="15" hidden="false" customHeight="false" outlineLevel="0" collapsed="false">
      <c r="A49" s="12"/>
      <c r="B49" s="13"/>
      <c r="C49" s="30"/>
      <c r="D49" s="13"/>
      <c r="E49" s="24"/>
      <c r="F49" s="13"/>
      <c r="G49" s="13"/>
      <c r="H49" s="13"/>
    </row>
    <row r="50" customFormat="false" ht="15" hidden="false" customHeight="false" outlineLevel="0" collapsed="false">
      <c r="A50" s="12"/>
      <c r="B50" s="13"/>
      <c r="C50" s="30"/>
      <c r="D50" s="13"/>
      <c r="E50" s="24"/>
      <c r="F50" s="13"/>
      <c r="G50" s="13"/>
      <c r="H50" s="13"/>
    </row>
    <row r="51" customFormat="false" ht="15" hidden="false" customHeight="false" outlineLevel="0" collapsed="false">
      <c r="A51" s="12"/>
      <c r="B51" s="13"/>
      <c r="C51" s="30"/>
      <c r="D51" s="13"/>
      <c r="E51" s="24"/>
      <c r="F51" s="13"/>
      <c r="G51" s="13"/>
      <c r="H51" s="13"/>
    </row>
    <row r="52" customFormat="false" ht="15" hidden="false" customHeight="false" outlineLevel="0" collapsed="false">
      <c r="A52" s="12"/>
      <c r="B52" s="13"/>
      <c r="C52" s="30"/>
      <c r="D52" s="13"/>
      <c r="E52" s="24"/>
      <c r="F52" s="13"/>
      <c r="G52" s="13"/>
      <c r="H52" s="13"/>
    </row>
    <row r="53" customFormat="false" ht="15" hidden="false" customHeight="false" outlineLevel="0" collapsed="false">
      <c r="A53" s="12"/>
      <c r="B53" s="13"/>
      <c r="C53" s="30"/>
      <c r="D53" s="13"/>
      <c r="E53" s="24"/>
      <c r="F53" s="13"/>
      <c r="G53" s="13"/>
      <c r="H53" s="13"/>
    </row>
    <row r="54" customFormat="false" ht="15" hidden="false" customHeight="false" outlineLevel="0" collapsed="false">
      <c r="A54" s="12"/>
      <c r="B54" s="13"/>
      <c r="C54" s="30"/>
      <c r="D54" s="13"/>
      <c r="E54" s="24"/>
      <c r="F54" s="13"/>
      <c r="G54" s="13"/>
      <c r="H54" s="13"/>
    </row>
    <row r="55" customFormat="false" ht="15" hidden="false" customHeight="false" outlineLevel="0" collapsed="false">
      <c r="A55" s="12"/>
      <c r="B55" s="13"/>
      <c r="C55" s="30"/>
      <c r="D55" s="13"/>
      <c r="E55" s="24"/>
      <c r="F55" s="13"/>
      <c r="G55" s="13"/>
      <c r="H55" s="13"/>
    </row>
    <row r="56" customFormat="false" ht="15" hidden="false" customHeight="false" outlineLevel="0" collapsed="false">
      <c r="A56" s="12"/>
      <c r="B56" s="13"/>
      <c r="C56" s="30"/>
      <c r="D56" s="13"/>
      <c r="E56" s="24"/>
      <c r="F56" s="13"/>
      <c r="G56" s="13"/>
      <c r="H56" s="13"/>
    </row>
    <row r="57" customFormat="false" ht="15" hidden="false" customHeight="false" outlineLevel="0" collapsed="false">
      <c r="A57" s="12"/>
      <c r="B57" s="13"/>
      <c r="C57" s="30"/>
      <c r="D57" s="13"/>
      <c r="E57" s="24"/>
      <c r="F57" s="13"/>
      <c r="G57" s="13"/>
      <c r="H57" s="13"/>
    </row>
    <row r="58" customFormat="false" ht="15" hidden="false" customHeight="false" outlineLevel="0" collapsed="false">
      <c r="A58" s="12"/>
      <c r="B58" s="13"/>
      <c r="C58" s="30"/>
      <c r="D58" s="13"/>
      <c r="E58" s="24"/>
      <c r="F58" s="13"/>
      <c r="G58" s="13"/>
      <c r="H58" s="13"/>
    </row>
    <row r="59" customFormat="false" ht="15" hidden="false" customHeight="false" outlineLevel="0" collapsed="false">
      <c r="A59" s="12"/>
      <c r="B59" s="13"/>
      <c r="C59" s="30"/>
      <c r="D59" s="13"/>
      <c r="E59" s="24"/>
      <c r="F59" s="13"/>
      <c r="G59" s="13"/>
      <c r="H59" s="13"/>
    </row>
    <row r="60" customFormat="false" ht="15" hidden="false" customHeight="false" outlineLevel="0" collapsed="false">
      <c r="A60" s="12"/>
      <c r="B60" s="13"/>
      <c r="C60" s="30"/>
      <c r="D60" s="13"/>
      <c r="E60" s="24"/>
      <c r="F60" s="13"/>
      <c r="G60" s="13"/>
      <c r="H60" s="13"/>
    </row>
    <row r="61" customFormat="false" ht="15" hidden="false" customHeight="false" outlineLevel="0" collapsed="false">
      <c r="A61" s="12"/>
      <c r="B61" s="13"/>
      <c r="C61" s="30"/>
      <c r="D61" s="13"/>
      <c r="E61" s="24"/>
      <c r="F61" s="13"/>
      <c r="G61" s="13"/>
      <c r="H61" s="13"/>
    </row>
    <row r="62" customFormat="false" ht="15" hidden="false" customHeight="false" outlineLevel="0" collapsed="false">
      <c r="A62" s="12"/>
      <c r="B62" s="13"/>
      <c r="C62" s="30"/>
      <c r="D62" s="13"/>
      <c r="E62" s="24"/>
      <c r="F62" s="13"/>
      <c r="G62" s="13"/>
      <c r="H62" s="13"/>
    </row>
    <row r="63" customFormat="false" ht="15" hidden="false" customHeight="false" outlineLevel="0" collapsed="false">
      <c r="A63" s="12"/>
      <c r="B63" s="13"/>
      <c r="C63" s="30"/>
      <c r="D63" s="13"/>
      <c r="E63" s="24"/>
      <c r="F63" s="13"/>
      <c r="G63" s="13"/>
      <c r="H63" s="13"/>
    </row>
    <row r="64" customFormat="false" ht="15" hidden="false" customHeight="false" outlineLevel="0" collapsed="false">
      <c r="A64" s="12"/>
      <c r="B64" s="13"/>
      <c r="C64" s="30"/>
      <c r="D64" s="13"/>
      <c r="E64" s="24"/>
      <c r="F64" s="13"/>
      <c r="G64" s="13"/>
      <c r="H64" s="13"/>
    </row>
    <row r="65" customFormat="false" ht="15" hidden="false" customHeight="false" outlineLevel="0" collapsed="false">
      <c r="A65" s="12"/>
      <c r="B65" s="13"/>
      <c r="C65" s="30"/>
      <c r="D65" s="13"/>
      <c r="E65" s="24"/>
      <c r="F65" s="13"/>
      <c r="G65" s="13"/>
      <c r="H65" s="13"/>
    </row>
    <row r="66" customFormat="false" ht="15" hidden="false" customHeight="false" outlineLevel="0" collapsed="false">
      <c r="A66" s="12"/>
      <c r="B66" s="13"/>
      <c r="C66" s="30"/>
      <c r="D66" s="13"/>
      <c r="E66" s="24"/>
      <c r="F66" s="13"/>
      <c r="G66" s="13"/>
      <c r="H66" s="13"/>
    </row>
    <row r="67" customFormat="false" ht="15" hidden="false" customHeight="false" outlineLevel="0" collapsed="false">
      <c r="A67" s="12"/>
      <c r="B67" s="13"/>
      <c r="C67" s="30"/>
      <c r="D67" s="13"/>
      <c r="E67" s="24"/>
      <c r="F67" s="13"/>
      <c r="G67" s="13"/>
      <c r="H67" s="13"/>
    </row>
    <row r="68" customFormat="false" ht="15" hidden="false" customHeight="false" outlineLevel="0" collapsed="false">
      <c r="A68" s="12"/>
      <c r="B68" s="13"/>
      <c r="C68" s="30"/>
      <c r="D68" s="13"/>
      <c r="E68" s="24"/>
      <c r="F68" s="13"/>
      <c r="G68" s="13"/>
      <c r="H68" s="13"/>
    </row>
    <row r="69" customFormat="false" ht="15" hidden="false" customHeight="false" outlineLevel="0" collapsed="false">
      <c r="A69" s="12"/>
      <c r="B69" s="13"/>
      <c r="C69" s="30"/>
      <c r="D69" s="13"/>
      <c r="E69" s="24"/>
      <c r="F69" s="13"/>
      <c r="G69" s="13"/>
      <c r="H69" s="13"/>
    </row>
    <row r="70" customFormat="false" ht="15" hidden="false" customHeight="false" outlineLevel="0" collapsed="false">
      <c r="A70" s="12"/>
      <c r="B70" s="13"/>
      <c r="C70" s="30"/>
      <c r="D70" s="13"/>
      <c r="E70" s="24"/>
      <c r="F70" s="13"/>
      <c r="G70" s="13"/>
      <c r="H70" s="13"/>
    </row>
    <row r="71" customFormat="false" ht="15" hidden="false" customHeight="false" outlineLevel="0" collapsed="false">
      <c r="A71" s="12"/>
      <c r="B71" s="13"/>
      <c r="C71" s="30"/>
      <c r="D71" s="13"/>
      <c r="E71" s="24"/>
      <c r="F71" s="13"/>
      <c r="G71" s="13"/>
      <c r="H71" s="13"/>
    </row>
    <row r="72" customFormat="false" ht="15" hidden="false" customHeight="false" outlineLevel="0" collapsed="false">
      <c r="A72" s="12"/>
      <c r="B72" s="13"/>
      <c r="C72" s="30"/>
      <c r="D72" s="13"/>
      <c r="E72" s="24"/>
      <c r="F72" s="13"/>
      <c r="G72" s="13"/>
      <c r="H72" s="13"/>
    </row>
    <row r="73" customFormat="false" ht="15" hidden="false" customHeight="false" outlineLevel="0" collapsed="false">
      <c r="A73" s="12"/>
      <c r="B73" s="13"/>
      <c r="C73" s="30"/>
      <c r="D73" s="13"/>
      <c r="E73" s="24"/>
      <c r="F73" s="13"/>
      <c r="G73" s="13"/>
      <c r="H73" s="13"/>
    </row>
    <row r="74" customFormat="false" ht="15" hidden="false" customHeight="false" outlineLevel="0" collapsed="false">
      <c r="A74" s="12"/>
      <c r="B74" s="13"/>
      <c r="C74" s="30"/>
      <c r="D74" s="13"/>
      <c r="E74" s="24"/>
      <c r="F74" s="13"/>
      <c r="G74" s="13"/>
      <c r="H74" s="13"/>
    </row>
    <row r="75" customFormat="false" ht="15" hidden="false" customHeight="false" outlineLevel="0" collapsed="false">
      <c r="A75" s="12"/>
      <c r="B75" s="13"/>
      <c r="C75" s="30"/>
      <c r="D75" s="13"/>
      <c r="E75" s="24"/>
      <c r="F75" s="13"/>
      <c r="G75" s="13"/>
      <c r="H75" s="13"/>
    </row>
    <row r="76" customFormat="false" ht="15" hidden="false" customHeight="false" outlineLevel="0" collapsed="false">
      <c r="A76" s="12"/>
      <c r="B76" s="13"/>
      <c r="C76" s="30"/>
      <c r="D76" s="13"/>
      <c r="E76" s="24"/>
      <c r="F76" s="13"/>
      <c r="G76" s="13"/>
      <c r="H76" s="13"/>
    </row>
    <row r="77" customFormat="false" ht="15" hidden="false" customHeight="false" outlineLevel="0" collapsed="false">
      <c r="A77" s="12"/>
      <c r="B77" s="13"/>
      <c r="C77" s="30"/>
      <c r="D77" s="13"/>
      <c r="E77" s="24"/>
      <c r="F77" s="13"/>
      <c r="G77" s="13"/>
      <c r="H77" s="13"/>
    </row>
    <row r="78" customFormat="false" ht="15" hidden="false" customHeight="false" outlineLevel="0" collapsed="false">
      <c r="A78" s="12"/>
      <c r="B78" s="13"/>
      <c r="C78" s="30"/>
      <c r="D78" s="13"/>
      <c r="E78" s="24"/>
      <c r="F78" s="13"/>
      <c r="G78" s="13"/>
      <c r="H78" s="13"/>
    </row>
    <row r="79" customFormat="false" ht="15" hidden="false" customHeight="false" outlineLevel="0" collapsed="false">
      <c r="A79" s="12"/>
      <c r="B79" s="13"/>
      <c r="C79" s="30"/>
      <c r="D79" s="13"/>
      <c r="E79" s="24"/>
      <c r="F79" s="13"/>
      <c r="G79" s="13"/>
      <c r="H79" s="13"/>
    </row>
    <row r="80" customFormat="false" ht="15" hidden="false" customHeight="false" outlineLevel="0" collapsed="false">
      <c r="A80" s="12"/>
      <c r="B80" s="13"/>
      <c r="C80" s="30"/>
      <c r="D80" s="13"/>
      <c r="E80" s="24"/>
      <c r="F80" s="13"/>
      <c r="G80" s="13"/>
      <c r="H80" s="13"/>
    </row>
    <row r="81" customFormat="false" ht="15" hidden="false" customHeight="false" outlineLevel="0" collapsed="false">
      <c r="A81" s="12"/>
      <c r="B81" s="13"/>
      <c r="C81" s="30"/>
      <c r="D81" s="13"/>
      <c r="E81" s="24"/>
      <c r="F81" s="13"/>
      <c r="G81" s="13"/>
      <c r="H81" s="13"/>
    </row>
    <row r="82" customFormat="false" ht="15" hidden="false" customHeight="false" outlineLevel="0" collapsed="false">
      <c r="A82" s="12"/>
      <c r="B82" s="13"/>
      <c r="C82" s="30"/>
      <c r="D82" s="13"/>
      <c r="E82" s="24"/>
      <c r="F82" s="13"/>
      <c r="G82" s="13"/>
      <c r="H82" s="13"/>
    </row>
    <row r="83" customFormat="false" ht="15" hidden="false" customHeight="false" outlineLevel="0" collapsed="false">
      <c r="A83" s="12"/>
      <c r="B83" s="13"/>
      <c r="C83" s="30"/>
      <c r="D83" s="13"/>
      <c r="E83" s="24"/>
      <c r="F83" s="13"/>
      <c r="G83" s="13"/>
      <c r="H83" s="13"/>
    </row>
    <row r="84" customFormat="false" ht="15" hidden="false" customHeight="false" outlineLevel="0" collapsed="false">
      <c r="A84" s="12"/>
      <c r="B84" s="13"/>
      <c r="C84" s="30"/>
      <c r="D84" s="13"/>
      <c r="E84" s="24"/>
      <c r="F84" s="13"/>
      <c r="G84" s="13"/>
      <c r="H84" s="13"/>
    </row>
    <row r="85" customFormat="false" ht="15" hidden="false" customHeight="false" outlineLevel="0" collapsed="false">
      <c r="A85" s="12"/>
      <c r="B85" s="13"/>
      <c r="C85" s="30"/>
      <c r="D85" s="13"/>
      <c r="E85" s="24"/>
      <c r="F85" s="13"/>
      <c r="G85" s="13"/>
      <c r="H85" s="13"/>
    </row>
    <row r="86" customFormat="false" ht="15" hidden="false" customHeight="false" outlineLevel="0" collapsed="false">
      <c r="A86" s="12"/>
      <c r="B86" s="13"/>
      <c r="C86" s="30"/>
      <c r="D86" s="13"/>
      <c r="E86" s="24"/>
      <c r="F86" s="13"/>
      <c r="G86" s="13"/>
      <c r="H86" s="13"/>
    </row>
    <row r="87" customFormat="false" ht="15" hidden="false" customHeight="false" outlineLevel="0" collapsed="false">
      <c r="A87" s="12"/>
      <c r="B87" s="13"/>
      <c r="C87" s="30"/>
      <c r="D87" s="13"/>
      <c r="E87" s="24"/>
      <c r="F87" s="13"/>
      <c r="G87" s="13"/>
      <c r="H87" s="13"/>
    </row>
    <row r="88" customFormat="false" ht="15" hidden="false" customHeight="false" outlineLevel="0" collapsed="false">
      <c r="A88" s="12"/>
      <c r="B88" s="13"/>
      <c r="C88" s="30"/>
      <c r="D88" s="13"/>
      <c r="E88" s="24"/>
      <c r="F88" s="13"/>
      <c r="G88" s="13"/>
      <c r="H88" s="13"/>
    </row>
    <row r="89" customFormat="false" ht="15" hidden="false" customHeight="false" outlineLevel="0" collapsed="false">
      <c r="A89" s="12"/>
      <c r="B89" s="13"/>
      <c r="C89" s="30"/>
      <c r="D89" s="13"/>
      <c r="E89" s="24"/>
      <c r="F89" s="13"/>
      <c r="G89" s="13"/>
      <c r="H89" s="13"/>
    </row>
    <row r="90" customFormat="false" ht="15" hidden="false" customHeight="false" outlineLevel="0" collapsed="false">
      <c r="A90" s="12"/>
      <c r="B90" s="13"/>
      <c r="C90" s="30"/>
      <c r="D90" s="13"/>
      <c r="E90" s="24"/>
      <c r="F90" s="13"/>
      <c r="G90" s="13"/>
      <c r="H90" s="13"/>
    </row>
    <row r="91" customFormat="false" ht="15" hidden="false" customHeight="false" outlineLevel="0" collapsed="false">
      <c r="A91" s="12"/>
      <c r="B91" s="13"/>
      <c r="C91" s="30"/>
      <c r="D91" s="13"/>
      <c r="E91" s="24"/>
      <c r="F91" s="13"/>
      <c r="G91" s="13"/>
      <c r="H91" s="13"/>
    </row>
    <row r="92" customFormat="false" ht="15" hidden="false" customHeight="false" outlineLevel="0" collapsed="false">
      <c r="A92" s="12"/>
      <c r="B92" s="13"/>
      <c r="C92" s="30"/>
      <c r="D92" s="13"/>
      <c r="E92" s="24"/>
      <c r="F92" s="13"/>
      <c r="G92" s="13"/>
      <c r="H92" s="13"/>
    </row>
    <row r="93" customFormat="false" ht="15" hidden="false" customHeight="false" outlineLevel="0" collapsed="false">
      <c r="A93" s="12"/>
      <c r="B93" s="13"/>
      <c r="C93" s="30"/>
      <c r="D93" s="13"/>
      <c r="E93" s="24"/>
      <c r="F93" s="13"/>
      <c r="G93" s="13"/>
      <c r="H93" s="13"/>
    </row>
    <row r="94" customFormat="false" ht="15" hidden="false" customHeight="false" outlineLevel="0" collapsed="false">
      <c r="A94" s="12"/>
      <c r="B94" s="13"/>
      <c r="C94" s="30"/>
      <c r="D94" s="13"/>
      <c r="E94" s="24"/>
      <c r="F94" s="13"/>
      <c r="G94" s="13"/>
      <c r="H94" s="13"/>
    </row>
    <row r="95" customFormat="false" ht="15" hidden="false" customHeight="false" outlineLevel="0" collapsed="false">
      <c r="A95" s="12"/>
      <c r="B95" s="13"/>
      <c r="C95" s="30"/>
      <c r="D95" s="13"/>
      <c r="E95" s="24"/>
      <c r="F95" s="13"/>
      <c r="G95" s="13"/>
      <c r="H95" s="13"/>
    </row>
    <row r="96" customFormat="false" ht="15" hidden="false" customHeight="false" outlineLevel="0" collapsed="false">
      <c r="A96" s="12"/>
      <c r="B96" s="13"/>
      <c r="C96" s="30"/>
      <c r="D96" s="13"/>
      <c r="E96" s="24"/>
      <c r="F96" s="13"/>
      <c r="G96" s="13"/>
      <c r="H96" s="13"/>
    </row>
    <row r="97" customFormat="false" ht="15" hidden="false" customHeight="false" outlineLevel="0" collapsed="false">
      <c r="A97" s="12"/>
      <c r="B97" s="13"/>
      <c r="C97" s="30"/>
      <c r="D97" s="13"/>
      <c r="E97" s="24"/>
      <c r="F97" s="13"/>
      <c r="G97" s="13"/>
      <c r="H97" s="13"/>
    </row>
    <row r="98" customFormat="false" ht="15" hidden="false" customHeight="false" outlineLevel="0" collapsed="false">
      <c r="A98" s="12"/>
      <c r="B98" s="13"/>
      <c r="C98" s="30"/>
      <c r="D98" s="13"/>
      <c r="E98" s="24"/>
      <c r="F98" s="13"/>
      <c r="G98" s="13"/>
      <c r="H98" s="13"/>
    </row>
    <row r="99" customFormat="false" ht="15" hidden="false" customHeight="false" outlineLevel="0" collapsed="false">
      <c r="A99" s="12"/>
      <c r="B99" s="13"/>
      <c r="C99" s="30"/>
      <c r="D99" s="13"/>
      <c r="E99" s="24"/>
      <c r="F99" s="13"/>
      <c r="G99" s="13"/>
      <c r="H99" s="13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B3:B99" type="list">
      <formula1>'14_Equipa'!$A$3:$A$5</formula1>
      <formula2>0</formula2>
    </dataValidation>
    <dataValidation allowBlank="true" errorStyle="stop" operator="between" showDropDown="false" showErrorMessage="false" showInputMessage="false" sqref="H3:H99" type="list">
      <formula1>"Em cobrança,Acordo,Pagou,Cancelado"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37.5" hidden="false" customHeight="true" outlineLevel="0" collapsed="false">
      <c r="A1" s="21" t="s">
        <v>123</v>
      </c>
      <c r="B1" s="21"/>
      <c r="C1" s="21"/>
      <c r="D1" s="21"/>
      <c r="E1" s="21"/>
      <c r="F1" s="21"/>
      <c r="G1" s="21"/>
      <c r="H1" s="21"/>
    </row>
    <row r="2" customFormat="false" ht="27.75" hidden="false" customHeight="true" outlineLevel="0" collapsed="false">
      <c r="A2" s="11" t="s">
        <v>34</v>
      </c>
      <c r="B2" s="11" t="s">
        <v>19</v>
      </c>
      <c r="C2" s="11" t="s">
        <v>124</v>
      </c>
      <c r="D2" s="11" t="s">
        <v>125</v>
      </c>
      <c r="E2" s="11" t="s">
        <v>126</v>
      </c>
      <c r="F2" s="11" t="s">
        <v>127</v>
      </c>
      <c r="G2" s="11" t="s">
        <v>128</v>
      </c>
      <c r="H2" s="11" t="s">
        <v>56</v>
      </c>
    </row>
    <row r="3" customFormat="false" ht="15" hidden="false" customHeight="false" outlineLevel="0" collapsed="false">
      <c r="A3" s="12"/>
      <c r="B3" s="13"/>
      <c r="C3" s="24"/>
      <c r="D3" s="12"/>
      <c r="E3" s="13"/>
      <c r="F3" s="13"/>
      <c r="G3" s="24"/>
      <c r="H3" s="12"/>
    </row>
    <row r="4" customFormat="false" ht="15" hidden="false" customHeight="false" outlineLevel="0" collapsed="false">
      <c r="A4" s="12"/>
      <c r="B4" s="13"/>
      <c r="C4" s="24"/>
      <c r="D4" s="12"/>
      <c r="E4" s="13"/>
      <c r="F4" s="13"/>
      <c r="G4" s="24"/>
      <c r="H4" s="12"/>
    </row>
    <row r="5" customFormat="false" ht="15" hidden="false" customHeight="false" outlineLevel="0" collapsed="false">
      <c r="A5" s="12"/>
      <c r="B5" s="13"/>
      <c r="C5" s="24"/>
      <c r="D5" s="12"/>
      <c r="E5" s="13"/>
      <c r="F5" s="13"/>
      <c r="G5" s="24"/>
      <c r="H5" s="12"/>
    </row>
    <row r="6" customFormat="false" ht="15" hidden="false" customHeight="false" outlineLevel="0" collapsed="false">
      <c r="A6" s="12"/>
      <c r="B6" s="13"/>
      <c r="C6" s="24"/>
      <c r="D6" s="12"/>
      <c r="E6" s="13"/>
      <c r="F6" s="13"/>
      <c r="G6" s="24"/>
      <c r="H6" s="12"/>
    </row>
    <row r="7" customFormat="false" ht="15" hidden="false" customHeight="false" outlineLevel="0" collapsed="false">
      <c r="A7" s="12"/>
      <c r="B7" s="13"/>
      <c r="C7" s="24"/>
      <c r="D7" s="12"/>
      <c r="E7" s="13"/>
      <c r="F7" s="13"/>
      <c r="G7" s="24"/>
      <c r="H7" s="12"/>
    </row>
    <row r="8" customFormat="false" ht="15" hidden="false" customHeight="false" outlineLevel="0" collapsed="false">
      <c r="A8" s="12"/>
      <c r="B8" s="13"/>
      <c r="C8" s="24"/>
      <c r="D8" s="12"/>
      <c r="E8" s="13"/>
      <c r="F8" s="13"/>
      <c r="G8" s="24"/>
      <c r="H8" s="12"/>
    </row>
    <row r="9" customFormat="false" ht="15" hidden="false" customHeight="false" outlineLevel="0" collapsed="false">
      <c r="A9" s="12"/>
      <c r="B9" s="13"/>
      <c r="C9" s="24"/>
      <c r="D9" s="12"/>
      <c r="E9" s="13"/>
      <c r="F9" s="13"/>
      <c r="G9" s="24"/>
      <c r="H9" s="12"/>
    </row>
    <row r="10" customFormat="false" ht="15" hidden="false" customHeight="false" outlineLevel="0" collapsed="false">
      <c r="A10" s="12"/>
      <c r="B10" s="13"/>
      <c r="C10" s="24"/>
      <c r="D10" s="12"/>
      <c r="E10" s="13"/>
      <c r="F10" s="13"/>
      <c r="G10" s="24"/>
      <c r="H10" s="12"/>
    </row>
    <row r="11" customFormat="false" ht="15" hidden="false" customHeight="false" outlineLevel="0" collapsed="false">
      <c r="A11" s="12"/>
      <c r="B11" s="13"/>
      <c r="C11" s="24"/>
      <c r="D11" s="12"/>
      <c r="E11" s="13"/>
      <c r="F11" s="13"/>
      <c r="G11" s="24"/>
      <c r="H11" s="12"/>
    </row>
    <row r="12" customFormat="false" ht="15" hidden="false" customHeight="false" outlineLevel="0" collapsed="false">
      <c r="A12" s="12"/>
      <c r="B12" s="13"/>
      <c r="C12" s="24"/>
      <c r="D12" s="12"/>
      <c r="E12" s="13"/>
      <c r="F12" s="13"/>
      <c r="G12" s="24"/>
      <c r="H12" s="12"/>
    </row>
    <row r="13" customFormat="false" ht="15" hidden="false" customHeight="false" outlineLevel="0" collapsed="false">
      <c r="A13" s="12"/>
      <c r="B13" s="13"/>
      <c r="C13" s="24"/>
      <c r="D13" s="12"/>
      <c r="E13" s="13"/>
      <c r="F13" s="13"/>
      <c r="G13" s="24"/>
      <c r="H13" s="12"/>
    </row>
    <row r="14" customFormat="false" ht="15" hidden="false" customHeight="false" outlineLevel="0" collapsed="false">
      <c r="A14" s="12"/>
      <c r="B14" s="13"/>
      <c r="C14" s="24"/>
      <c r="D14" s="12"/>
      <c r="E14" s="13"/>
      <c r="F14" s="13"/>
      <c r="G14" s="24"/>
      <c r="H14" s="12"/>
    </row>
    <row r="15" customFormat="false" ht="15" hidden="false" customHeight="false" outlineLevel="0" collapsed="false">
      <c r="A15" s="12"/>
      <c r="B15" s="13"/>
      <c r="C15" s="24"/>
      <c r="D15" s="12"/>
      <c r="E15" s="13"/>
      <c r="F15" s="13"/>
      <c r="G15" s="24"/>
      <c r="H15" s="12"/>
    </row>
    <row r="16" customFormat="false" ht="15" hidden="false" customHeight="false" outlineLevel="0" collapsed="false">
      <c r="A16" s="12"/>
      <c r="B16" s="13"/>
      <c r="C16" s="24"/>
      <c r="D16" s="12"/>
      <c r="E16" s="13"/>
      <c r="F16" s="13"/>
      <c r="G16" s="24"/>
      <c r="H16" s="12"/>
    </row>
    <row r="17" customFormat="false" ht="15" hidden="false" customHeight="false" outlineLevel="0" collapsed="false">
      <c r="A17" s="12"/>
      <c r="B17" s="13"/>
      <c r="C17" s="24"/>
      <c r="D17" s="12"/>
      <c r="E17" s="13"/>
      <c r="F17" s="13"/>
      <c r="G17" s="24"/>
      <c r="H17" s="12"/>
    </row>
    <row r="18" customFormat="false" ht="15" hidden="false" customHeight="false" outlineLevel="0" collapsed="false">
      <c r="A18" s="12"/>
      <c r="B18" s="13"/>
      <c r="C18" s="24"/>
      <c r="D18" s="12"/>
      <c r="E18" s="13"/>
      <c r="F18" s="13"/>
      <c r="G18" s="24"/>
      <c r="H18" s="12"/>
    </row>
    <row r="19" customFormat="false" ht="15" hidden="false" customHeight="false" outlineLevel="0" collapsed="false">
      <c r="A19" s="12"/>
      <c r="B19" s="13"/>
      <c r="C19" s="24"/>
      <c r="D19" s="12"/>
      <c r="E19" s="13"/>
      <c r="F19" s="13"/>
      <c r="G19" s="24"/>
      <c r="H19" s="12"/>
    </row>
    <row r="20" customFormat="false" ht="15" hidden="false" customHeight="false" outlineLevel="0" collapsed="false">
      <c r="A20" s="12"/>
      <c r="B20" s="13"/>
      <c r="C20" s="24"/>
      <c r="D20" s="12"/>
      <c r="E20" s="13"/>
      <c r="F20" s="13"/>
      <c r="G20" s="24"/>
      <c r="H20" s="12"/>
    </row>
    <row r="21" customFormat="false" ht="15" hidden="false" customHeight="false" outlineLevel="0" collapsed="false">
      <c r="A21" s="12"/>
      <c r="B21" s="13"/>
      <c r="C21" s="24"/>
      <c r="D21" s="12"/>
      <c r="E21" s="13"/>
      <c r="F21" s="13"/>
      <c r="G21" s="24"/>
      <c r="H21" s="12"/>
    </row>
    <row r="22" customFormat="false" ht="15" hidden="false" customHeight="false" outlineLevel="0" collapsed="false">
      <c r="A22" s="12"/>
      <c r="B22" s="13"/>
      <c r="C22" s="24"/>
      <c r="D22" s="12"/>
      <c r="E22" s="13"/>
      <c r="F22" s="13"/>
      <c r="G22" s="24"/>
      <c r="H22" s="12"/>
    </row>
    <row r="23" customFormat="false" ht="15" hidden="false" customHeight="false" outlineLevel="0" collapsed="false">
      <c r="A23" s="12"/>
      <c r="B23" s="13"/>
      <c r="C23" s="24"/>
      <c r="D23" s="12"/>
      <c r="E23" s="13"/>
      <c r="F23" s="13"/>
      <c r="G23" s="24"/>
      <c r="H23" s="12"/>
    </row>
    <row r="24" customFormat="false" ht="15" hidden="false" customHeight="false" outlineLevel="0" collapsed="false">
      <c r="A24" s="12"/>
      <c r="B24" s="13"/>
      <c r="C24" s="24"/>
      <c r="D24" s="12"/>
      <c r="E24" s="13"/>
      <c r="F24" s="13"/>
      <c r="G24" s="24"/>
      <c r="H24" s="12"/>
    </row>
    <row r="25" customFormat="false" ht="15" hidden="false" customHeight="false" outlineLevel="0" collapsed="false">
      <c r="A25" s="12"/>
      <c r="B25" s="13"/>
      <c r="C25" s="24"/>
      <c r="D25" s="12"/>
      <c r="E25" s="13"/>
      <c r="F25" s="13"/>
      <c r="G25" s="24"/>
      <c r="H25" s="12"/>
    </row>
    <row r="26" customFormat="false" ht="15" hidden="false" customHeight="false" outlineLevel="0" collapsed="false">
      <c r="A26" s="12"/>
      <c r="B26" s="13"/>
      <c r="C26" s="24"/>
      <c r="D26" s="12"/>
      <c r="E26" s="13"/>
      <c r="F26" s="13"/>
      <c r="G26" s="24"/>
      <c r="H26" s="12"/>
    </row>
    <row r="27" customFormat="false" ht="15" hidden="false" customHeight="false" outlineLevel="0" collapsed="false">
      <c r="A27" s="12"/>
      <c r="B27" s="13"/>
      <c r="C27" s="24"/>
      <c r="D27" s="12"/>
      <c r="E27" s="13"/>
      <c r="F27" s="13"/>
      <c r="G27" s="24"/>
      <c r="H27" s="12"/>
    </row>
    <row r="28" customFormat="false" ht="15" hidden="false" customHeight="false" outlineLevel="0" collapsed="false">
      <c r="A28" s="12"/>
      <c r="B28" s="13"/>
      <c r="C28" s="24"/>
      <c r="D28" s="12"/>
      <c r="E28" s="13"/>
      <c r="F28" s="13"/>
      <c r="G28" s="24"/>
      <c r="H28" s="12"/>
    </row>
    <row r="29" customFormat="false" ht="15" hidden="false" customHeight="false" outlineLevel="0" collapsed="false">
      <c r="A29" s="12"/>
      <c r="B29" s="13"/>
      <c r="C29" s="24"/>
      <c r="D29" s="12"/>
      <c r="E29" s="13"/>
      <c r="F29" s="13"/>
      <c r="G29" s="24"/>
      <c r="H29" s="12"/>
    </row>
    <row r="30" customFormat="false" ht="15" hidden="false" customHeight="false" outlineLevel="0" collapsed="false">
      <c r="A30" s="12"/>
      <c r="B30" s="13"/>
      <c r="C30" s="24"/>
      <c r="D30" s="12"/>
      <c r="E30" s="13"/>
      <c r="F30" s="13"/>
      <c r="G30" s="24"/>
      <c r="H30" s="12"/>
    </row>
    <row r="31" customFormat="false" ht="15" hidden="false" customHeight="false" outlineLevel="0" collapsed="false">
      <c r="A31" s="12"/>
      <c r="B31" s="13"/>
      <c r="C31" s="24"/>
      <c r="D31" s="12"/>
      <c r="E31" s="13"/>
      <c r="F31" s="13"/>
      <c r="G31" s="24"/>
      <c r="H31" s="12"/>
    </row>
    <row r="32" customFormat="false" ht="15" hidden="false" customHeight="false" outlineLevel="0" collapsed="false">
      <c r="A32" s="12"/>
      <c r="B32" s="13"/>
      <c r="C32" s="24"/>
      <c r="D32" s="12"/>
      <c r="E32" s="13"/>
      <c r="F32" s="13"/>
      <c r="G32" s="24"/>
      <c r="H32" s="12"/>
    </row>
    <row r="33" customFormat="false" ht="15" hidden="false" customHeight="false" outlineLevel="0" collapsed="false">
      <c r="A33" s="12"/>
      <c r="B33" s="13"/>
      <c r="C33" s="24"/>
      <c r="D33" s="12"/>
      <c r="E33" s="13"/>
      <c r="F33" s="13"/>
      <c r="G33" s="24"/>
      <c r="H33" s="12"/>
    </row>
    <row r="34" customFormat="false" ht="15" hidden="false" customHeight="false" outlineLevel="0" collapsed="false">
      <c r="A34" s="12"/>
      <c r="B34" s="13"/>
      <c r="C34" s="24"/>
      <c r="D34" s="12"/>
      <c r="E34" s="13"/>
      <c r="F34" s="13"/>
      <c r="G34" s="24"/>
      <c r="H34" s="12"/>
    </row>
    <row r="35" customFormat="false" ht="15" hidden="false" customHeight="false" outlineLevel="0" collapsed="false">
      <c r="A35" s="12"/>
      <c r="B35" s="13"/>
      <c r="C35" s="24"/>
      <c r="D35" s="12"/>
      <c r="E35" s="13"/>
      <c r="F35" s="13"/>
      <c r="G35" s="24"/>
      <c r="H35" s="12"/>
    </row>
    <row r="36" customFormat="false" ht="15" hidden="false" customHeight="false" outlineLevel="0" collapsed="false">
      <c r="A36" s="12"/>
      <c r="B36" s="13"/>
      <c r="C36" s="24"/>
      <c r="D36" s="12"/>
      <c r="E36" s="13"/>
      <c r="F36" s="13"/>
      <c r="G36" s="24"/>
      <c r="H36" s="12"/>
    </row>
    <row r="37" customFormat="false" ht="15" hidden="false" customHeight="false" outlineLevel="0" collapsed="false">
      <c r="A37" s="12"/>
      <c r="B37" s="13"/>
      <c r="C37" s="24"/>
      <c r="D37" s="12"/>
      <c r="E37" s="13"/>
      <c r="F37" s="13"/>
      <c r="G37" s="24"/>
      <c r="H37" s="12"/>
    </row>
    <row r="38" customFormat="false" ht="15" hidden="false" customHeight="false" outlineLevel="0" collapsed="false">
      <c r="A38" s="12"/>
      <c r="B38" s="13"/>
      <c r="C38" s="24"/>
      <c r="D38" s="12"/>
      <c r="E38" s="13"/>
      <c r="F38" s="13"/>
      <c r="G38" s="24"/>
      <c r="H38" s="12"/>
    </row>
    <row r="39" customFormat="false" ht="15" hidden="false" customHeight="false" outlineLevel="0" collapsed="false">
      <c r="A39" s="12"/>
      <c r="B39" s="13"/>
      <c r="C39" s="24"/>
      <c r="D39" s="12"/>
      <c r="E39" s="13"/>
      <c r="F39" s="13"/>
      <c r="G39" s="24"/>
      <c r="H39" s="12"/>
    </row>
    <row r="40" customFormat="false" ht="15" hidden="false" customHeight="false" outlineLevel="0" collapsed="false">
      <c r="A40" s="12"/>
      <c r="B40" s="13"/>
      <c r="C40" s="24"/>
      <c r="D40" s="12"/>
      <c r="E40" s="13"/>
      <c r="F40" s="13"/>
      <c r="G40" s="24"/>
      <c r="H40" s="12"/>
    </row>
    <row r="41" customFormat="false" ht="15" hidden="false" customHeight="false" outlineLevel="0" collapsed="false">
      <c r="A41" s="12"/>
      <c r="B41" s="13"/>
      <c r="C41" s="24"/>
      <c r="D41" s="12"/>
      <c r="E41" s="13"/>
      <c r="F41" s="13"/>
      <c r="G41" s="24"/>
      <c r="H41" s="12"/>
    </row>
    <row r="42" customFormat="false" ht="15" hidden="false" customHeight="false" outlineLevel="0" collapsed="false">
      <c r="A42" s="12"/>
      <c r="B42" s="13"/>
      <c r="C42" s="24"/>
      <c r="D42" s="12"/>
      <c r="E42" s="13"/>
      <c r="F42" s="13"/>
      <c r="G42" s="24"/>
      <c r="H42" s="12"/>
    </row>
    <row r="43" customFormat="false" ht="15" hidden="false" customHeight="false" outlineLevel="0" collapsed="false">
      <c r="A43" s="12"/>
      <c r="B43" s="13"/>
      <c r="C43" s="24"/>
      <c r="D43" s="12"/>
      <c r="E43" s="13"/>
      <c r="F43" s="13"/>
      <c r="G43" s="24"/>
      <c r="H43" s="12"/>
    </row>
    <row r="44" customFormat="false" ht="15" hidden="false" customHeight="false" outlineLevel="0" collapsed="false">
      <c r="A44" s="12"/>
      <c r="B44" s="13"/>
      <c r="C44" s="24"/>
      <c r="D44" s="12"/>
      <c r="E44" s="13"/>
      <c r="F44" s="13"/>
      <c r="G44" s="24"/>
      <c r="H44" s="12"/>
    </row>
    <row r="45" customFormat="false" ht="15" hidden="false" customHeight="false" outlineLevel="0" collapsed="false">
      <c r="A45" s="12"/>
      <c r="B45" s="13"/>
      <c r="C45" s="24"/>
      <c r="D45" s="12"/>
      <c r="E45" s="13"/>
      <c r="F45" s="13"/>
      <c r="G45" s="24"/>
      <c r="H45" s="12"/>
    </row>
    <row r="46" customFormat="false" ht="15" hidden="false" customHeight="false" outlineLevel="0" collapsed="false">
      <c r="A46" s="12"/>
      <c r="B46" s="13"/>
      <c r="C46" s="24"/>
      <c r="D46" s="12"/>
      <c r="E46" s="13"/>
      <c r="F46" s="13"/>
      <c r="G46" s="24"/>
      <c r="H46" s="12"/>
    </row>
    <row r="47" customFormat="false" ht="15" hidden="false" customHeight="false" outlineLevel="0" collapsed="false">
      <c r="A47" s="12"/>
      <c r="B47" s="13"/>
      <c r="C47" s="24"/>
      <c r="D47" s="12"/>
      <c r="E47" s="13"/>
      <c r="F47" s="13"/>
      <c r="G47" s="24"/>
      <c r="H47" s="12"/>
    </row>
    <row r="48" customFormat="false" ht="15" hidden="false" customHeight="false" outlineLevel="0" collapsed="false">
      <c r="A48" s="12"/>
      <c r="B48" s="13"/>
      <c r="C48" s="24"/>
      <c r="D48" s="12"/>
      <c r="E48" s="13"/>
      <c r="F48" s="13"/>
      <c r="G48" s="24"/>
      <c r="H48" s="12"/>
    </row>
    <row r="49" customFormat="false" ht="15" hidden="false" customHeight="false" outlineLevel="0" collapsed="false">
      <c r="A49" s="12"/>
      <c r="B49" s="13"/>
      <c r="C49" s="24"/>
      <c r="D49" s="12"/>
      <c r="E49" s="13"/>
      <c r="F49" s="13"/>
      <c r="G49" s="24"/>
      <c r="H49" s="12"/>
    </row>
    <row r="50" customFormat="false" ht="15" hidden="false" customHeight="false" outlineLevel="0" collapsed="false">
      <c r="A50" s="12"/>
      <c r="B50" s="13"/>
      <c r="C50" s="24"/>
      <c r="D50" s="12"/>
      <c r="E50" s="13"/>
      <c r="F50" s="13"/>
      <c r="G50" s="24"/>
      <c r="H50" s="12"/>
    </row>
    <row r="51" customFormat="false" ht="15" hidden="false" customHeight="false" outlineLevel="0" collapsed="false">
      <c r="A51" s="12"/>
      <c r="B51" s="13"/>
      <c r="C51" s="24"/>
      <c r="D51" s="12"/>
      <c r="E51" s="13"/>
      <c r="F51" s="13"/>
      <c r="G51" s="24"/>
      <c r="H51" s="12"/>
    </row>
    <row r="52" customFormat="false" ht="15" hidden="false" customHeight="false" outlineLevel="0" collapsed="false">
      <c r="A52" s="12"/>
      <c r="B52" s="13"/>
      <c r="C52" s="24"/>
      <c r="D52" s="12"/>
      <c r="E52" s="13"/>
      <c r="F52" s="13"/>
      <c r="G52" s="24"/>
      <c r="H52" s="12"/>
    </row>
    <row r="53" customFormat="false" ht="15" hidden="false" customHeight="false" outlineLevel="0" collapsed="false">
      <c r="A53" s="12"/>
      <c r="B53" s="13"/>
      <c r="C53" s="24"/>
      <c r="D53" s="12"/>
      <c r="E53" s="13"/>
      <c r="F53" s="13"/>
      <c r="G53" s="24"/>
      <c r="H53" s="12"/>
    </row>
    <row r="54" customFormat="false" ht="15" hidden="false" customHeight="false" outlineLevel="0" collapsed="false">
      <c r="A54" s="12"/>
      <c r="B54" s="13"/>
      <c r="C54" s="24"/>
      <c r="D54" s="12"/>
      <c r="E54" s="13"/>
      <c r="F54" s="13"/>
      <c r="G54" s="24"/>
      <c r="H54" s="12"/>
    </row>
    <row r="55" customFormat="false" ht="15" hidden="false" customHeight="false" outlineLevel="0" collapsed="false">
      <c r="A55" s="12"/>
      <c r="B55" s="13"/>
      <c r="C55" s="24"/>
      <c r="D55" s="12"/>
      <c r="E55" s="13"/>
      <c r="F55" s="13"/>
      <c r="G55" s="24"/>
      <c r="H55" s="12"/>
    </row>
    <row r="56" customFormat="false" ht="15" hidden="false" customHeight="false" outlineLevel="0" collapsed="false">
      <c r="A56" s="12"/>
      <c r="B56" s="13"/>
      <c r="C56" s="24"/>
      <c r="D56" s="12"/>
      <c r="E56" s="13"/>
      <c r="F56" s="13"/>
      <c r="G56" s="24"/>
      <c r="H56" s="12"/>
    </row>
    <row r="57" customFormat="false" ht="15" hidden="false" customHeight="false" outlineLevel="0" collapsed="false">
      <c r="A57" s="12"/>
      <c r="B57" s="13"/>
      <c r="C57" s="24"/>
      <c r="D57" s="12"/>
      <c r="E57" s="13"/>
      <c r="F57" s="13"/>
      <c r="G57" s="24"/>
      <c r="H57" s="12"/>
    </row>
    <row r="58" customFormat="false" ht="15" hidden="false" customHeight="false" outlineLevel="0" collapsed="false">
      <c r="A58" s="12"/>
      <c r="B58" s="13"/>
      <c r="C58" s="24"/>
      <c r="D58" s="12"/>
      <c r="E58" s="13"/>
      <c r="F58" s="13"/>
      <c r="G58" s="24"/>
      <c r="H58" s="12"/>
    </row>
    <row r="59" customFormat="false" ht="15" hidden="false" customHeight="false" outlineLevel="0" collapsed="false">
      <c r="A59" s="12"/>
      <c r="B59" s="13"/>
      <c r="C59" s="24"/>
      <c r="D59" s="12"/>
      <c r="E59" s="13"/>
      <c r="F59" s="13"/>
      <c r="G59" s="24"/>
      <c r="H59" s="12"/>
    </row>
    <row r="60" customFormat="false" ht="15" hidden="false" customHeight="false" outlineLevel="0" collapsed="false">
      <c r="A60" s="12"/>
      <c r="B60" s="13"/>
      <c r="C60" s="24"/>
      <c r="D60" s="12"/>
      <c r="E60" s="13"/>
      <c r="F60" s="13"/>
      <c r="G60" s="24"/>
      <c r="H60" s="12"/>
    </row>
    <row r="61" customFormat="false" ht="15" hidden="false" customHeight="false" outlineLevel="0" collapsed="false">
      <c r="A61" s="12"/>
      <c r="B61" s="13"/>
      <c r="C61" s="24"/>
      <c r="D61" s="12"/>
      <c r="E61" s="13"/>
      <c r="F61" s="13"/>
      <c r="G61" s="24"/>
      <c r="H61" s="12"/>
    </row>
    <row r="62" customFormat="false" ht="15" hidden="false" customHeight="false" outlineLevel="0" collapsed="false">
      <c r="A62" s="12"/>
      <c r="B62" s="13"/>
      <c r="C62" s="24"/>
      <c r="D62" s="12"/>
      <c r="E62" s="13"/>
      <c r="F62" s="13"/>
      <c r="G62" s="24"/>
      <c r="H62" s="12"/>
    </row>
    <row r="63" customFormat="false" ht="15" hidden="false" customHeight="false" outlineLevel="0" collapsed="false">
      <c r="A63" s="12"/>
      <c r="B63" s="13"/>
      <c r="C63" s="24"/>
      <c r="D63" s="12"/>
      <c r="E63" s="13"/>
      <c r="F63" s="13"/>
      <c r="G63" s="24"/>
      <c r="H63" s="12"/>
    </row>
    <row r="64" customFormat="false" ht="15" hidden="false" customHeight="false" outlineLevel="0" collapsed="false">
      <c r="A64" s="12"/>
      <c r="B64" s="13"/>
      <c r="C64" s="24"/>
      <c r="D64" s="12"/>
      <c r="E64" s="13"/>
      <c r="F64" s="13"/>
      <c r="G64" s="24"/>
      <c r="H64" s="12"/>
    </row>
    <row r="65" customFormat="false" ht="15" hidden="false" customHeight="false" outlineLevel="0" collapsed="false">
      <c r="A65" s="12"/>
      <c r="B65" s="13"/>
      <c r="C65" s="24"/>
      <c r="D65" s="12"/>
      <c r="E65" s="13"/>
      <c r="F65" s="13"/>
      <c r="G65" s="24"/>
      <c r="H65" s="12"/>
    </row>
    <row r="66" customFormat="false" ht="15" hidden="false" customHeight="false" outlineLevel="0" collapsed="false">
      <c r="A66" s="12"/>
      <c r="B66" s="13"/>
      <c r="C66" s="24"/>
      <c r="D66" s="12"/>
      <c r="E66" s="13"/>
      <c r="F66" s="13"/>
      <c r="G66" s="24"/>
      <c r="H66" s="12"/>
    </row>
    <row r="67" customFormat="false" ht="15" hidden="false" customHeight="false" outlineLevel="0" collapsed="false">
      <c r="A67" s="12"/>
      <c r="B67" s="13"/>
      <c r="C67" s="24"/>
      <c r="D67" s="12"/>
      <c r="E67" s="13"/>
      <c r="F67" s="13"/>
      <c r="G67" s="24"/>
      <c r="H67" s="12"/>
    </row>
    <row r="68" customFormat="false" ht="15" hidden="false" customHeight="false" outlineLevel="0" collapsed="false">
      <c r="A68" s="12"/>
      <c r="B68" s="13"/>
      <c r="C68" s="24"/>
      <c r="D68" s="12"/>
      <c r="E68" s="13"/>
      <c r="F68" s="13"/>
      <c r="G68" s="24"/>
      <c r="H68" s="12"/>
    </row>
    <row r="69" customFormat="false" ht="15" hidden="false" customHeight="false" outlineLevel="0" collapsed="false">
      <c r="A69" s="12"/>
      <c r="B69" s="13"/>
      <c r="C69" s="24"/>
      <c r="D69" s="12"/>
      <c r="E69" s="13"/>
      <c r="F69" s="13"/>
      <c r="G69" s="24"/>
      <c r="H69" s="12"/>
    </row>
    <row r="70" customFormat="false" ht="15" hidden="false" customHeight="false" outlineLevel="0" collapsed="false">
      <c r="A70" s="12"/>
      <c r="B70" s="13"/>
      <c r="C70" s="24"/>
      <c r="D70" s="12"/>
      <c r="E70" s="13"/>
      <c r="F70" s="13"/>
      <c r="G70" s="24"/>
      <c r="H70" s="12"/>
    </row>
    <row r="71" customFormat="false" ht="15" hidden="false" customHeight="false" outlineLevel="0" collapsed="false">
      <c r="A71" s="12"/>
      <c r="B71" s="13"/>
      <c r="C71" s="24"/>
      <c r="D71" s="12"/>
      <c r="E71" s="13"/>
      <c r="F71" s="13"/>
      <c r="G71" s="24"/>
      <c r="H71" s="12"/>
    </row>
    <row r="72" customFormat="false" ht="15" hidden="false" customHeight="false" outlineLevel="0" collapsed="false">
      <c r="A72" s="12"/>
      <c r="B72" s="13"/>
      <c r="C72" s="24"/>
      <c r="D72" s="12"/>
      <c r="E72" s="13"/>
      <c r="F72" s="13"/>
      <c r="G72" s="24"/>
      <c r="H72" s="12"/>
    </row>
    <row r="73" customFormat="false" ht="15" hidden="false" customHeight="false" outlineLevel="0" collapsed="false">
      <c r="A73" s="12"/>
      <c r="B73" s="13"/>
      <c r="C73" s="24"/>
      <c r="D73" s="12"/>
      <c r="E73" s="13"/>
      <c r="F73" s="13"/>
      <c r="G73" s="24"/>
      <c r="H73" s="12"/>
    </row>
    <row r="74" customFormat="false" ht="15" hidden="false" customHeight="false" outlineLevel="0" collapsed="false">
      <c r="A74" s="12"/>
      <c r="B74" s="13"/>
      <c r="C74" s="24"/>
      <c r="D74" s="12"/>
      <c r="E74" s="13"/>
      <c r="F74" s="13"/>
      <c r="G74" s="24"/>
      <c r="H74" s="12"/>
    </row>
    <row r="75" customFormat="false" ht="15" hidden="false" customHeight="false" outlineLevel="0" collapsed="false">
      <c r="A75" s="12"/>
      <c r="B75" s="13"/>
      <c r="C75" s="24"/>
      <c r="D75" s="12"/>
      <c r="E75" s="13"/>
      <c r="F75" s="13"/>
      <c r="G75" s="24"/>
      <c r="H75" s="12"/>
    </row>
    <row r="76" customFormat="false" ht="15" hidden="false" customHeight="false" outlineLevel="0" collapsed="false">
      <c r="A76" s="12"/>
      <c r="B76" s="13"/>
      <c r="C76" s="24"/>
      <c r="D76" s="12"/>
      <c r="E76" s="13"/>
      <c r="F76" s="13"/>
      <c r="G76" s="24"/>
      <c r="H76" s="12"/>
    </row>
    <row r="77" customFormat="false" ht="15" hidden="false" customHeight="false" outlineLevel="0" collapsed="false">
      <c r="A77" s="12"/>
      <c r="B77" s="13"/>
      <c r="C77" s="24"/>
      <c r="D77" s="12"/>
      <c r="E77" s="13"/>
      <c r="F77" s="13"/>
      <c r="G77" s="24"/>
      <c r="H77" s="12"/>
    </row>
    <row r="78" customFormat="false" ht="15" hidden="false" customHeight="false" outlineLevel="0" collapsed="false">
      <c r="A78" s="12"/>
      <c r="B78" s="13"/>
      <c r="C78" s="24"/>
      <c r="D78" s="12"/>
      <c r="E78" s="13"/>
      <c r="F78" s="13"/>
      <c r="G78" s="24"/>
      <c r="H78" s="12"/>
    </row>
    <row r="79" customFormat="false" ht="15" hidden="false" customHeight="false" outlineLevel="0" collapsed="false">
      <c r="A79" s="12"/>
      <c r="B79" s="13"/>
      <c r="C79" s="24"/>
      <c r="D79" s="12"/>
      <c r="E79" s="13"/>
      <c r="F79" s="13"/>
      <c r="G79" s="24"/>
      <c r="H79" s="12"/>
    </row>
    <row r="80" customFormat="false" ht="15" hidden="false" customHeight="false" outlineLevel="0" collapsed="false">
      <c r="A80" s="12"/>
      <c r="B80" s="13"/>
      <c r="C80" s="24"/>
      <c r="D80" s="12"/>
      <c r="E80" s="13"/>
      <c r="F80" s="13"/>
      <c r="G80" s="24"/>
      <c r="H80" s="12"/>
    </row>
    <row r="81" customFormat="false" ht="15" hidden="false" customHeight="false" outlineLevel="0" collapsed="false">
      <c r="A81" s="12"/>
      <c r="B81" s="13"/>
      <c r="C81" s="24"/>
      <c r="D81" s="12"/>
      <c r="E81" s="13"/>
      <c r="F81" s="13"/>
      <c r="G81" s="24"/>
      <c r="H81" s="12"/>
    </row>
    <row r="82" customFormat="false" ht="15" hidden="false" customHeight="false" outlineLevel="0" collapsed="false">
      <c r="A82" s="12"/>
      <c r="B82" s="13"/>
      <c r="C82" s="24"/>
      <c r="D82" s="12"/>
      <c r="E82" s="13"/>
      <c r="F82" s="13"/>
      <c r="G82" s="24"/>
      <c r="H82" s="12"/>
    </row>
    <row r="83" customFormat="false" ht="15" hidden="false" customHeight="false" outlineLevel="0" collapsed="false">
      <c r="A83" s="12"/>
      <c r="B83" s="13"/>
      <c r="C83" s="24"/>
      <c r="D83" s="12"/>
      <c r="E83" s="13"/>
      <c r="F83" s="13"/>
      <c r="G83" s="24"/>
      <c r="H83" s="12"/>
    </row>
    <row r="84" customFormat="false" ht="15" hidden="false" customHeight="false" outlineLevel="0" collapsed="false">
      <c r="A84" s="12"/>
      <c r="B84" s="13"/>
      <c r="C84" s="24"/>
      <c r="D84" s="12"/>
      <c r="E84" s="13"/>
      <c r="F84" s="13"/>
      <c r="G84" s="24"/>
      <c r="H84" s="12"/>
    </row>
    <row r="85" customFormat="false" ht="15" hidden="false" customHeight="false" outlineLevel="0" collapsed="false">
      <c r="A85" s="12"/>
      <c r="B85" s="13"/>
      <c r="C85" s="24"/>
      <c r="D85" s="12"/>
      <c r="E85" s="13"/>
      <c r="F85" s="13"/>
      <c r="G85" s="24"/>
      <c r="H85" s="12"/>
    </row>
    <row r="86" customFormat="false" ht="15" hidden="false" customHeight="false" outlineLevel="0" collapsed="false">
      <c r="A86" s="12"/>
      <c r="B86" s="13"/>
      <c r="C86" s="24"/>
      <c r="D86" s="12"/>
      <c r="E86" s="13"/>
      <c r="F86" s="13"/>
      <c r="G86" s="24"/>
      <c r="H86" s="12"/>
    </row>
    <row r="87" customFormat="false" ht="15" hidden="false" customHeight="false" outlineLevel="0" collapsed="false">
      <c r="A87" s="12"/>
      <c r="B87" s="13"/>
      <c r="C87" s="24"/>
      <c r="D87" s="12"/>
      <c r="E87" s="13"/>
      <c r="F87" s="13"/>
      <c r="G87" s="24"/>
      <c r="H87" s="12"/>
    </row>
    <row r="88" customFormat="false" ht="15" hidden="false" customHeight="false" outlineLevel="0" collapsed="false">
      <c r="A88" s="12"/>
      <c r="B88" s="13"/>
      <c r="C88" s="24"/>
      <c r="D88" s="12"/>
      <c r="E88" s="13"/>
      <c r="F88" s="13"/>
      <c r="G88" s="24"/>
      <c r="H88" s="12"/>
    </row>
    <row r="89" customFormat="false" ht="15" hidden="false" customHeight="false" outlineLevel="0" collapsed="false">
      <c r="A89" s="12"/>
      <c r="B89" s="13"/>
      <c r="C89" s="24"/>
      <c r="D89" s="12"/>
      <c r="E89" s="13"/>
      <c r="F89" s="13"/>
      <c r="G89" s="24"/>
      <c r="H89" s="12"/>
    </row>
    <row r="90" customFormat="false" ht="15" hidden="false" customHeight="false" outlineLevel="0" collapsed="false">
      <c r="A90" s="12"/>
      <c r="B90" s="13"/>
      <c r="C90" s="24"/>
      <c r="D90" s="12"/>
      <c r="E90" s="13"/>
      <c r="F90" s="13"/>
      <c r="G90" s="24"/>
      <c r="H90" s="12"/>
    </row>
    <row r="91" customFormat="false" ht="15" hidden="false" customHeight="false" outlineLevel="0" collapsed="false">
      <c r="A91" s="12"/>
      <c r="B91" s="13"/>
      <c r="C91" s="24"/>
      <c r="D91" s="12"/>
      <c r="E91" s="13"/>
      <c r="F91" s="13"/>
      <c r="G91" s="24"/>
      <c r="H91" s="12"/>
    </row>
    <row r="92" customFormat="false" ht="15" hidden="false" customHeight="false" outlineLevel="0" collapsed="false">
      <c r="A92" s="12"/>
      <c r="B92" s="13"/>
      <c r="C92" s="24"/>
      <c r="D92" s="12"/>
      <c r="E92" s="13"/>
      <c r="F92" s="13"/>
      <c r="G92" s="24"/>
      <c r="H92" s="12"/>
    </row>
    <row r="93" customFormat="false" ht="15" hidden="false" customHeight="false" outlineLevel="0" collapsed="false">
      <c r="A93" s="12"/>
      <c r="B93" s="13"/>
      <c r="C93" s="24"/>
      <c r="D93" s="12"/>
      <c r="E93" s="13"/>
      <c r="F93" s="13"/>
      <c r="G93" s="24"/>
      <c r="H93" s="12"/>
    </row>
    <row r="94" customFormat="false" ht="15" hidden="false" customHeight="false" outlineLevel="0" collapsed="false">
      <c r="A94" s="12"/>
      <c r="B94" s="13"/>
      <c r="C94" s="24"/>
      <c r="D94" s="12"/>
      <c r="E94" s="13"/>
      <c r="F94" s="13"/>
      <c r="G94" s="24"/>
      <c r="H94" s="12"/>
    </row>
    <row r="95" customFormat="false" ht="15" hidden="false" customHeight="false" outlineLevel="0" collapsed="false">
      <c r="A95" s="12"/>
      <c r="B95" s="13"/>
      <c r="C95" s="24"/>
      <c r="D95" s="12"/>
      <c r="E95" s="13"/>
      <c r="F95" s="13"/>
      <c r="G95" s="24"/>
      <c r="H95" s="12"/>
    </row>
    <row r="96" customFormat="false" ht="15" hidden="false" customHeight="false" outlineLevel="0" collapsed="false">
      <c r="A96" s="12"/>
      <c r="B96" s="13"/>
      <c r="C96" s="24"/>
      <c r="D96" s="12"/>
      <c r="E96" s="13"/>
      <c r="F96" s="13"/>
      <c r="G96" s="24"/>
      <c r="H96" s="12"/>
    </row>
    <row r="97" customFormat="false" ht="15" hidden="false" customHeight="false" outlineLevel="0" collapsed="false">
      <c r="A97" s="12"/>
      <c r="B97" s="13"/>
      <c r="C97" s="24"/>
      <c r="D97" s="12"/>
      <c r="E97" s="13"/>
      <c r="F97" s="13"/>
      <c r="G97" s="24"/>
      <c r="H97" s="12"/>
    </row>
    <row r="98" customFormat="false" ht="15" hidden="false" customHeight="false" outlineLevel="0" collapsed="false">
      <c r="A98" s="12"/>
      <c r="B98" s="13"/>
      <c r="C98" s="24"/>
      <c r="D98" s="12"/>
      <c r="E98" s="13"/>
      <c r="F98" s="13"/>
      <c r="G98" s="24"/>
      <c r="H98" s="12"/>
    </row>
    <row r="99" customFormat="false" ht="15" hidden="false" customHeight="false" outlineLevel="0" collapsed="false">
      <c r="A99" s="12"/>
      <c r="B99" s="13"/>
      <c r="C99" s="24"/>
      <c r="D99" s="12"/>
      <c r="E99" s="13"/>
      <c r="F99" s="13"/>
      <c r="G99" s="24"/>
      <c r="H99" s="12"/>
    </row>
  </sheetData>
  <mergeCells count="1">
    <mergeCell ref="A1:H1"/>
  </mergeCells>
  <dataValidations count="2">
    <dataValidation allowBlank="true" errorStyle="stop" operator="between" showDropDown="false" showErrorMessage="false" showInputMessage="false" sqref="B3:B99" type="list">
      <formula1>'14_Equipa'!$A$3:$A$5</formula1>
      <formula2>0</formula2>
    </dataValidation>
    <dataValidation allowBlank="true" errorStyle="stop" operator="between" showDropDown="false" showErrorMessage="false" showInputMessage="false" sqref="E3:F99" type="list">
      <formula1>"Sim,Não,N/A"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7.5" hidden="false" customHeight="true" outlineLevel="0" collapsed="false">
      <c r="A1" s="21" t="s">
        <v>129</v>
      </c>
      <c r="B1" s="21"/>
      <c r="C1" s="21"/>
      <c r="D1" s="21"/>
      <c r="E1" s="21"/>
      <c r="F1" s="21"/>
      <c r="G1" s="21"/>
      <c r="H1" s="21"/>
    </row>
    <row r="2" customFormat="false" ht="27.75" hidden="false" customHeight="true" outlineLevel="0" collapsed="false">
      <c r="A2" s="11" t="s">
        <v>34</v>
      </c>
      <c r="B2" s="11" t="s">
        <v>19</v>
      </c>
      <c r="C2" s="11" t="s">
        <v>124</v>
      </c>
      <c r="D2" s="11" t="s">
        <v>130</v>
      </c>
      <c r="E2" s="11" t="s">
        <v>131</v>
      </c>
      <c r="F2" s="11" t="s">
        <v>132</v>
      </c>
      <c r="G2" s="11" t="s">
        <v>133</v>
      </c>
      <c r="H2" s="11" t="s">
        <v>56</v>
      </c>
    </row>
    <row r="3" customFormat="false" ht="15" hidden="false" customHeight="false" outlineLevel="0" collapsed="false">
      <c r="A3" s="12"/>
      <c r="B3" s="13"/>
      <c r="C3" s="24"/>
      <c r="D3" s="24"/>
      <c r="E3" s="24"/>
      <c r="F3" s="13" t="str">
        <f aca="false">IFERROR(IF(AND(ISNUMBER(D3),ISNUMBER(E3)),E3-D3+1,""),"")</f>
        <v/>
      </c>
      <c r="G3" s="30"/>
      <c r="H3" s="12"/>
    </row>
    <row r="4" customFormat="false" ht="15" hidden="false" customHeight="false" outlineLevel="0" collapsed="false">
      <c r="A4" s="12"/>
      <c r="B4" s="13"/>
      <c r="C4" s="24"/>
      <c r="D4" s="24"/>
      <c r="E4" s="24"/>
      <c r="F4" s="13" t="str">
        <f aca="false">IFERROR(IF(AND(ISNUMBER(D4),ISNUMBER(E4)),E4-D4+1,""),"")</f>
        <v/>
      </c>
      <c r="G4" s="30"/>
      <c r="H4" s="12"/>
    </row>
    <row r="5" customFormat="false" ht="15" hidden="false" customHeight="false" outlineLevel="0" collapsed="false">
      <c r="A5" s="12"/>
      <c r="B5" s="13"/>
      <c r="C5" s="24"/>
      <c r="D5" s="24"/>
      <c r="E5" s="24"/>
      <c r="F5" s="13" t="str">
        <f aca="false">IFERROR(IF(AND(ISNUMBER(D5),ISNUMBER(E5)),E5-D5+1,""),"")</f>
        <v/>
      </c>
      <c r="G5" s="30"/>
      <c r="H5" s="12"/>
    </row>
    <row r="6" customFormat="false" ht="15" hidden="false" customHeight="false" outlineLevel="0" collapsed="false">
      <c r="A6" s="12"/>
      <c r="B6" s="13"/>
      <c r="C6" s="24"/>
      <c r="D6" s="24"/>
      <c r="E6" s="24"/>
      <c r="F6" s="13" t="str">
        <f aca="false">IFERROR(IF(AND(ISNUMBER(D6),ISNUMBER(E6)),E6-D6+1,""),"")</f>
        <v/>
      </c>
      <c r="G6" s="30"/>
      <c r="H6" s="12"/>
    </row>
    <row r="7" customFormat="false" ht="15" hidden="false" customHeight="false" outlineLevel="0" collapsed="false">
      <c r="A7" s="12"/>
      <c r="B7" s="13"/>
      <c r="C7" s="24"/>
      <c r="D7" s="24"/>
      <c r="E7" s="24"/>
      <c r="F7" s="13" t="str">
        <f aca="false">IFERROR(IF(AND(ISNUMBER(D7),ISNUMBER(E7)),E7-D7+1,""),"")</f>
        <v/>
      </c>
      <c r="G7" s="30"/>
      <c r="H7" s="12"/>
    </row>
    <row r="8" customFormat="false" ht="15" hidden="false" customHeight="false" outlineLevel="0" collapsed="false">
      <c r="A8" s="12"/>
      <c r="B8" s="13"/>
      <c r="C8" s="24"/>
      <c r="D8" s="24"/>
      <c r="E8" s="24"/>
      <c r="F8" s="13" t="str">
        <f aca="false">IFERROR(IF(AND(ISNUMBER(D8),ISNUMBER(E8)),E8-D8+1,""),"")</f>
        <v/>
      </c>
      <c r="G8" s="30"/>
      <c r="H8" s="12"/>
    </row>
    <row r="9" customFormat="false" ht="15" hidden="false" customHeight="false" outlineLevel="0" collapsed="false">
      <c r="A9" s="12"/>
      <c r="B9" s="13"/>
      <c r="C9" s="24"/>
      <c r="D9" s="24"/>
      <c r="E9" s="24"/>
      <c r="F9" s="13" t="str">
        <f aca="false">IFERROR(IF(AND(ISNUMBER(D9),ISNUMBER(E9)),E9-D9+1,""),"")</f>
        <v/>
      </c>
      <c r="G9" s="30"/>
      <c r="H9" s="12"/>
    </row>
    <row r="10" customFormat="false" ht="15" hidden="false" customHeight="false" outlineLevel="0" collapsed="false">
      <c r="A10" s="12"/>
      <c r="B10" s="13"/>
      <c r="C10" s="24"/>
      <c r="D10" s="24"/>
      <c r="E10" s="24"/>
      <c r="F10" s="13" t="str">
        <f aca="false">IFERROR(IF(AND(ISNUMBER(D10),ISNUMBER(E10)),E10-D10+1,""),"")</f>
        <v/>
      </c>
      <c r="G10" s="30"/>
      <c r="H10" s="12"/>
    </row>
    <row r="11" customFormat="false" ht="15" hidden="false" customHeight="false" outlineLevel="0" collapsed="false">
      <c r="A11" s="12"/>
      <c r="B11" s="13"/>
      <c r="C11" s="24"/>
      <c r="D11" s="24"/>
      <c r="E11" s="24"/>
      <c r="F11" s="13" t="str">
        <f aca="false">IFERROR(IF(AND(ISNUMBER(D11),ISNUMBER(E11)),E11-D11+1,""),"")</f>
        <v/>
      </c>
      <c r="G11" s="30"/>
      <c r="H11" s="12"/>
    </row>
    <row r="12" customFormat="false" ht="15" hidden="false" customHeight="false" outlineLevel="0" collapsed="false">
      <c r="A12" s="12"/>
      <c r="B12" s="13"/>
      <c r="C12" s="24"/>
      <c r="D12" s="24"/>
      <c r="E12" s="24"/>
      <c r="F12" s="13" t="str">
        <f aca="false">IFERROR(IF(AND(ISNUMBER(D12),ISNUMBER(E12)),E12-D12+1,""),"")</f>
        <v/>
      </c>
      <c r="G12" s="30"/>
      <c r="H12" s="12"/>
    </row>
    <row r="13" customFormat="false" ht="15" hidden="false" customHeight="false" outlineLevel="0" collapsed="false">
      <c r="A13" s="12"/>
      <c r="B13" s="13"/>
      <c r="C13" s="24"/>
      <c r="D13" s="24"/>
      <c r="E13" s="24"/>
      <c r="F13" s="13" t="str">
        <f aca="false">IFERROR(IF(AND(ISNUMBER(D13),ISNUMBER(E13)),E13-D13+1,""),"")</f>
        <v/>
      </c>
      <c r="G13" s="30"/>
      <c r="H13" s="12"/>
    </row>
    <row r="14" customFormat="false" ht="15" hidden="false" customHeight="false" outlineLevel="0" collapsed="false">
      <c r="A14" s="12"/>
      <c r="B14" s="13"/>
      <c r="C14" s="24"/>
      <c r="D14" s="24"/>
      <c r="E14" s="24"/>
      <c r="F14" s="13" t="str">
        <f aca="false">IFERROR(IF(AND(ISNUMBER(D14),ISNUMBER(E14)),E14-D14+1,""),"")</f>
        <v/>
      </c>
      <c r="G14" s="30"/>
      <c r="H14" s="12"/>
    </row>
    <row r="15" customFormat="false" ht="15" hidden="false" customHeight="false" outlineLevel="0" collapsed="false">
      <c r="A15" s="12"/>
      <c r="B15" s="13"/>
      <c r="C15" s="24"/>
      <c r="D15" s="24"/>
      <c r="E15" s="24"/>
      <c r="F15" s="13" t="str">
        <f aca="false">IFERROR(IF(AND(ISNUMBER(D15),ISNUMBER(E15)),E15-D15+1,""),"")</f>
        <v/>
      </c>
      <c r="G15" s="30"/>
      <c r="H15" s="12"/>
    </row>
    <row r="16" customFormat="false" ht="15" hidden="false" customHeight="false" outlineLevel="0" collapsed="false">
      <c r="A16" s="12"/>
      <c r="B16" s="13"/>
      <c r="C16" s="24"/>
      <c r="D16" s="24"/>
      <c r="E16" s="24"/>
      <c r="F16" s="13" t="str">
        <f aca="false">IFERROR(IF(AND(ISNUMBER(D16),ISNUMBER(E16)),E16-D16+1,""),"")</f>
        <v/>
      </c>
      <c r="G16" s="30"/>
      <c r="H16" s="12"/>
    </row>
    <row r="17" customFormat="false" ht="15" hidden="false" customHeight="false" outlineLevel="0" collapsed="false">
      <c r="A17" s="12"/>
      <c r="B17" s="13"/>
      <c r="C17" s="24"/>
      <c r="D17" s="24"/>
      <c r="E17" s="24"/>
      <c r="F17" s="13" t="str">
        <f aca="false">IFERROR(IF(AND(ISNUMBER(D17),ISNUMBER(E17)),E17-D17+1,""),"")</f>
        <v/>
      </c>
      <c r="G17" s="30"/>
      <c r="H17" s="12"/>
    </row>
    <row r="18" customFormat="false" ht="15" hidden="false" customHeight="false" outlineLevel="0" collapsed="false">
      <c r="A18" s="12"/>
      <c r="B18" s="13"/>
      <c r="C18" s="24"/>
      <c r="D18" s="24"/>
      <c r="E18" s="24"/>
      <c r="F18" s="13" t="str">
        <f aca="false">IFERROR(IF(AND(ISNUMBER(D18),ISNUMBER(E18)),E18-D18+1,""),"")</f>
        <v/>
      </c>
      <c r="G18" s="30"/>
      <c r="H18" s="12"/>
    </row>
    <row r="19" customFormat="false" ht="15" hidden="false" customHeight="false" outlineLevel="0" collapsed="false">
      <c r="A19" s="12"/>
      <c r="B19" s="13"/>
      <c r="C19" s="24"/>
      <c r="D19" s="24"/>
      <c r="E19" s="24"/>
      <c r="F19" s="13" t="str">
        <f aca="false">IFERROR(IF(AND(ISNUMBER(D19),ISNUMBER(E19)),E19-D19+1,""),"")</f>
        <v/>
      </c>
      <c r="G19" s="30"/>
      <c r="H19" s="12"/>
    </row>
    <row r="20" customFormat="false" ht="15" hidden="false" customHeight="false" outlineLevel="0" collapsed="false">
      <c r="A20" s="12"/>
      <c r="B20" s="13"/>
      <c r="C20" s="24"/>
      <c r="D20" s="24"/>
      <c r="E20" s="24"/>
      <c r="F20" s="13" t="str">
        <f aca="false">IFERROR(IF(AND(ISNUMBER(D20),ISNUMBER(E20)),E20-D20+1,""),"")</f>
        <v/>
      </c>
      <c r="G20" s="30"/>
      <c r="H20" s="12"/>
    </row>
    <row r="21" customFormat="false" ht="15" hidden="false" customHeight="false" outlineLevel="0" collapsed="false">
      <c r="A21" s="12"/>
      <c r="B21" s="13"/>
      <c r="C21" s="24"/>
      <c r="D21" s="24"/>
      <c r="E21" s="24"/>
      <c r="F21" s="13" t="str">
        <f aca="false">IFERROR(IF(AND(ISNUMBER(D21),ISNUMBER(E21)),E21-D21+1,""),"")</f>
        <v/>
      </c>
      <c r="G21" s="30"/>
      <c r="H21" s="12"/>
    </row>
    <row r="22" customFormat="false" ht="15" hidden="false" customHeight="false" outlineLevel="0" collapsed="false">
      <c r="A22" s="12"/>
      <c r="B22" s="13"/>
      <c r="C22" s="24"/>
      <c r="D22" s="24"/>
      <c r="E22" s="24"/>
      <c r="F22" s="13" t="str">
        <f aca="false">IFERROR(IF(AND(ISNUMBER(D22),ISNUMBER(E22)),E22-D22+1,""),"")</f>
        <v/>
      </c>
      <c r="G22" s="30"/>
      <c r="H22" s="12"/>
    </row>
    <row r="23" customFormat="false" ht="15" hidden="false" customHeight="false" outlineLevel="0" collapsed="false">
      <c r="A23" s="12"/>
      <c r="B23" s="13"/>
      <c r="C23" s="24"/>
      <c r="D23" s="24"/>
      <c r="E23" s="24"/>
      <c r="F23" s="13" t="str">
        <f aca="false">IFERROR(IF(AND(ISNUMBER(D23),ISNUMBER(E23)),E23-D23+1,""),"")</f>
        <v/>
      </c>
      <c r="G23" s="30"/>
      <c r="H23" s="12"/>
    </row>
    <row r="24" customFormat="false" ht="15" hidden="false" customHeight="false" outlineLevel="0" collapsed="false">
      <c r="A24" s="12"/>
      <c r="B24" s="13"/>
      <c r="C24" s="24"/>
      <c r="D24" s="24"/>
      <c r="E24" s="24"/>
      <c r="F24" s="13" t="str">
        <f aca="false">IFERROR(IF(AND(ISNUMBER(D24),ISNUMBER(E24)),E24-D24+1,""),"")</f>
        <v/>
      </c>
      <c r="G24" s="30"/>
      <c r="H24" s="12"/>
    </row>
    <row r="25" customFormat="false" ht="15" hidden="false" customHeight="false" outlineLevel="0" collapsed="false">
      <c r="A25" s="12"/>
      <c r="B25" s="13"/>
      <c r="C25" s="24"/>
      <c r="D25" s="24"/>
      <c r="E25" s="24"/>
      <c r="F25" s="13" t="str">
        <f aca="false">IFERROR(IF(AND(ISNUMBER(D25),ISNUMBER(E25)),E25-D25+1,""),"")</f>
        <v/>
      </c>
      <c r="G25" s="30"/>
      <c r="H25" s="12"/>
    </row>
    <row r="26" customFormat="false" ht="15" hidden="false" customHeight="false" outlineLevel="0" collapsed="false">
      <c r="A26" s="12"/>
      <c r="B26" s="13"/>
      <c r="C26" s="24"/>
      <c r="D26" s="24"/>
      <c r="E26" s="24"/>
      <c r="F26" s="13" t="str">
        <f aca="false">IFERROR(IF(AND(ISNUMBER(D26),ISNUMBER(E26)),E26-D26+1,""),"")</f>
        <v/>
      </c>
      <c r="G26" s="30"/>
      <c r="H26" s="12"/>
    </row>
    <row r="27" customFormat="false" ht="15" hidden="false" customHeight="false" outlineLevel="0" collapsed="false">
      <c r="A27" s="12"/>
      <c r="B27" s="13"/>
      <c r="C27" s="24"/>
      <c r="D27" s="24"/>
      <c r="E27" s="24"/>
      <c r="F27" s="13" t="str">
        <f aca="false">IFERROR(IF(AND(ISNUMBER(D27),ISNUMBER(E27)),E27-D27+1,""),"")</f>
        <v/>
      </c>
      <c r="G27" s="30"/>
      <c r="H27" s="12"/>
    </row>
    <row r="28" customFormat="false" ht="15" hidden="false" customHeight="false" outlineLevel="0" collapsed="false">
      <c r="A28" s="12"/>
      <c r="B28" s="13"/>
      <c r="C28" s="24"/>
      <c r="D28" s="24"/>
      <c r="E28" s="24"/>
      <c r="F28" s="13" t="str">
        <f aca="false">IFERROR(IF(AND(ISNUMBER(D28),ISNUMBER(E28)),E28-D28+1,""),"")</f>
        <v/>
      </c>
      <c r="G28" s="30"/>
      <c r="H28" s="12"/>
    </row>
    <row r="29" customFormat="false" ht="15" hidden="false" customHeight="false" outlineLevel="0" collapsed="false">
      <c r="A29" s="12"/>
      <c r="B29" s="13"/>
      <c r="C29" s="24"/>
      <c r="D29" s="24"/>
      <c r="E29" s="24"/>
      <c r="F29" s="13" t="str">
        <f aca="false">IFERROR(IF(AND(ISNUMBER(D29),ISNUMBER(E29)),E29-D29+1,""),"")</f>
        <v/>
      </c>
      <c r="G29" s="30"/>
      <c r="H29" s="12"/>
    </row>
    <row r="30" customFormat="false" ht="15" hidden="false" customHeight="false" outlineLevel="0" collapsed="false">
      <c r="A30" s="12"/>
      <c r="B30" s="13"/>
      <c r="C30" s="24"/>
      <c r="D30" s="24"/>
      <c r="E30" s="24"/>
      <c r="F30" s="13" t="str">
        <f aca="false">IFERROR(IF(AND(ISNUMBER(D30),ISNUMBER(E30)),E30-D30+1,""),"")</f>
        <v/>
      </c>
      <c r="G30" s="30"/>
      <c r="H30" s="12"/>
    </row>
    <row r="31" customFormat="false" ht="15" hidden="false" customHeight="false" outlineLevel="0" collapsed="false">
      <c r="A31" s="12"/>
      <c r="B31" s="13"/>
      <c r="C31" s="24"/>
      <c r="D31" s="24"/>
      <c r="E31" s="24"/>
      <c r="F31" s="13" t="str">
        <f aca="false">IFERROR(IF(AND(ISNUMBER(D31),ISNUMBER(E31)),E31-D31+1,""),"")</f>
        <v/>
      </c>
      <c r="G31" s="30"/>
      <c r="H31" s="12"/>
    </row>
    <row r="32" customFormat="false" ht="15" hidden="false" customHeight="false" outlineLevel="0" collapsed="false">
      <c r="A32" s="12"/>
      <c r="B32" s="13"/>
      <c r="C32" s="24"/>
      <c r="D32" s="24"/>
      <c r="E32" s="24"/>
      <c r="F32" s="13" t="str">
        <f aca="false">IFERROR(IF(AND(ISNUMBER(D32),ISNUMBER(E32)),E32-D32+1,""),"")</f>
        <v/>
      </c>
      <c r="G32" s="30"/>
      <c r="H32" s="12"/>
    </row>
    <row r="33" customFormat="false" ht="15" hidden="false" customHeight="false" outlineLevel="0" collapsed="false">
      <c r="A33" s="12"/>
      <c r="B33" s="13"/>
      <c r="C33" s="24"/>
      <c r="D33" s="24"/>
      <c r="E33" s="24"/>
      <c r="F33" s="13" t="str">
        <f aca="false">IFERROR(IF(AND(ISNUMBER(D33),ISNUMBER(E33)),E33-D33+1,""),"")</f>
        <v/>
      </c>
      <c r="G33" s="30"/>
      <c r="H33" s="12"/>
    </row>
    <row r="34" customFormat="false" ht="15" hidden="false" customHeight="false" outlineLevel="0" collapsed="false">
      <c r="A34" s="12"/>
      <c r="B34" s="13"/>
      <c r="C34" s="24"/>
      <c r="D34" s="24"/>
      <c r="E34" s="24"/>
      <c r="F34" s="13" t="str">
        <f aca="false">IFERROR(IF(AND(ISNUMBER(D34),ISNUMBER(E34)),E34-D34+1,""),"")</f>
        <v/>
      </c>
      <c r="G34" s="30"/>
      <c r="H34" s="12"/>
    </row>
    <row r="35" customFormat="false" ht="15" hidden="false" customHeight="false" outlineLevel="0" collapsed="false">
      <c r="A35" s="12"/>
      <c r="B35" s="13"/>
      <c r="C35" s="24"/>
      <c r="D35" s="24"/>
      <c r="E35" s="24"/>
      <c r="F35" s="13" t="str">
        <f aca="false">IFERROR(IF(AND(ISNUMBER(D35),ISNUMBER(E35)),E35-D35+1,""),"")</f>
        <v/>
      </c>
      <c r="G35" s="30"/>
      <c r="H35" s="12"/>
    </row>
    <row r="36" customFormat="false" ht="15" hidden="false" customHeight="false" outlineLevel="0" collapsed="false">
      <c r="A36" s="12"/>
      <c r="B36" s="13"/>
      <c r="C36" s="24"/>
      <c r="D36" s="24"/>
      <c r="E36" s="24"/>
      <c r="F36" s="13" t="str">
        <f aca="false">IFERROR(IF(AND(ISNUMBER(D36),ISNUMBER(E36)),E36-D36+1,""),"")</f>
        <v/>
      </c>
      <c r="G36" s="30"/>
      <c r="H36" s="12"/>
    </row>
    <row r="37" customFormat="false" ht="15" hidden="false" customHeight="false" outlineLevel="0" collapsed="false">
      <c r="A37" s="12"/>
      <c r="B37" s="13"/>
      <c r="C37" s="24"/>
      <c r="D37" s="24"/>
      <c r="E37" s="24"/>
      <c r="F37" s="13" t="str">
        <f aca="false">IFERROR(IF(AND(ISNUMBER(D37),ISNUMBER(E37)),E37-D37+1,""),"")</f>
        <v/>
      </c>
      <c r="G37" s="30"/>
      <c r="H37" s="12"/>
    </row>
    <row r="38" customFormat="false" ht="15" hidden="false" customHeight="false" outlineLevel="0" collapsed="false">
      <c r="A38" s="12"/>
      <c r="B38" s="13"/>
      <c r="C38" s="24"/>
      <c r="D38" s="24"/>
      <c r="E38" s="24"/>
      <c r="F38" s="13" t="str">
        <f aca="false">IFERROR(IF(AND(ISNUMBER(D38),ISNUMBER(E38)),E38-D38+1,""),"")</f>
        <v/>
      </c>
      <c r="G38" s="30"/>
      <c r="H38" s="12"/>
    </row>
    <row r="39" customFormat="false" ht="15" hidden="false" customHeight="false" outlineLevel="0" collapsed="false">
      <c r="A39" s="12"/>
      <c r="B39" s="13"/>
      <c r="C39" s="24"/>
      <c r="D39" s="24"/>
      <c r="E39" s="24"/>
      <c r="F39" s="13" t="str">
        <f aca="false">IFERROR(IF(AND(ISNUMBER(D39),ISNUMBER(E39)),E39-D39+1,""),"")</f>
        <v/>
      </c>
      <c r="G39" s="30"/>
      <c r="H39" s="12"/>
    </row>
    <row r="40" customFormat="false" ht="15" hidden="false" customHeight="false" outlineLevel="0" collapsed="false">
      <c r="A40" s="12"/>
      <c r="B40" s="13"/>
      <c r="C40" s="24"/>
      <c r="D40" s="24"/>
      <c r="E40" s="24"/>
      <c r="F40" s="13" t="str">
        <f aca="false">IFERROR(IF(AND(ISNUMBER(D40),ISNUMBER(E40)),E40-D40+1,""),"")</f>
        <v/>
      </c>
      <c r="G40" s="30"/>
      <c r="H40" s="12"/>
    </row>
    <row r="41" customFormat="false" ht="15" hidden="false" customHeight="false" outlineLevel="0" collapsed="false">
      <c r="A41" s="12"/>
      <c r="B41" s="13"/>
      <c r="C41" s="24"/>
      <c r="D41" s="24"/>
      <c r="E41" s="24"/>
      <c r="F41" s="13" t="str">
        <f aca="false">IFERROR(IF(AND(ISNUMBER(D41),ISNUMBER(E41)),E41-D41+1,""),"")</f>
        <v/>
      </c>
      <c r="G41" s="30"/>
      <c r="H41" s="12"/>
    </row>
    <row r="42" customFormat="false" ht="15" hidden="false" customHeight="false" outlineLevel="0" collapsed="false">
      <c r="A42" s="12"/>
      <c r="B42" s="13"/>
      <c r="C42" s="24"/>
      <c r="D42" s="24"/>
      <c r="E42" s="24"/>
      <c r="F42" s="13" t="str">
        <f aca="false">IFERROR(IF(AND(ISNUMBER(D42),ISNUMBER(E42)),E42-D42+1,""),"")</f>
        <v/>
      </c>
      <c r="G42" s="30"/>
      <c r="H42" s="12"/>
    </row>
    <row r="43" customFormat="false" ht="15" hidden="false" customHeight="false" outlineLevel="0" collapsed="false">
      <c r="A43" s="12"/>
      <c r="B43" s="13"/>
      <c r="C43" s="24"/>
      <c r="D43" s="24"/>
      <c r="E43" s="24"/>
      <c r="F43" s="13" t="str">
        <f aca="false">IFERROR(IF(AND(ISNUMBER(D43),ISNUMBER(E43)),E43-D43+1,""),"")</f>
        <v/>
      </c>
      <c r="G43" s="30"/>
      <c r="H43" s="12"/>
    </row>
    <row r="44" customFormat="false" ht="15" hidden="false" customHeight="false" outlineLevel="0" collapsed="false">
      <c r="A44" s="12"/>
      <c r="B44" s="13"/>
      <c r="C44" s="24"/>
      <c r="D44" s="24"/>
      <c r="E44" s="24"/>
      <c r="F44" s="13" t="str">
        <f aca="false">IFERROR(IF(AND(ISNUMBER(D44),ISNUMBER(E44)),E44-D44+1,""),"")</f>
        <v/>
      </c>
      <c r="G44" s="30"/>
      <c r="H44" s="12"/>
    </row>
    <row r="45" customFormat="false" ht="15" hidden="false" customHeight="false" outlineLevel="0" collapsed="false">
      <c r="A45" s="12"/>
      <c r="B45" s="13"/>
      <c r="C45" s="24"/>
      <c r="D45" s="24"/>
      <c r="E45" s="24"/>
      <c r="F45" s="13" t="str">
        <f aca="false">IFERROR(IF(AND(ISNUMBER(D45),ISNUMBER(E45)),E45-D45+1,""),"")</f>
        <v/>
      </c>
      <c r="G45" s="30"/>
      <c r="H45" s="12"/>
    </row>
    <row r="46" customFormat="false" ht="15" hidden="false" customHeight="false" outlineLevel="0" collapsed="false">
      <c r="A46" s="12"/>
      <c r="B46" s="13"/>
      <c r="C46" s="24"/>
      <c r="D46" s="24"/>
      <c r="E46" s="24"/>
      <c r="F46" s="13" t="str">
        <f aca="false">IFERROR(IF(AND(ISNUMBER(D46),ISNUMBER(E46)),E46-D46+1,""),"")</f>
        <v/>
      </c>
      <c r="G46" s="30"/>
      <c r="H46" s="12"/>
    </row>
    <row r="47" customFormat="false" ht="15" hidden="false" customHeight="false" outlineLevel="0" collapsed="false">
      <c r="A47" s="12"/>
      <c r="B47" s="13"/>
      <c r="C47" s="24"/>
      <c r="D47" s="24"/>
      <c r="E47" s="24"/>
      <c r="F47" s="13" t="str">
        <f aca="false">IFERROR(IF(AND(ISNUMBER(D47),ISNUMBER(E47)),E47-D47+1,""),"")</f>
        <v/>
      </c>
      <c r="G47" s="30"/>
      <c r="H47" s="12"/>
    </row>
    <row r="48" customFormat="false" ht="15" hidden="false" customHeight="false" outlineLevel="0" collapsed="false">
      <c r="A48" s="12"/>
      <c r="B48" s="13"/>
      <c r="C48" s="24"/>
      <c r="D48" s="24"/>
      <c r="E48" s="24"/>
      <c r="F48" s="13" t="str">
        <f aca="false">IFERROR(IF(AND(ISNUMBER(D48),ISNUMBER(E48)),E48-D48+1,""),"")</f>
        <v/>
      </c>
      <c r="G48" s="30"/>
      <c r="H48" s="12"/>
    </row>
    <row r="49" customFormat="false" ht="15" hidden="false" customHeight="false" outlineLevel="0" collapsed="false">
      <c r="A49" s="12"/>
      <c r="B49" s="13"/>
      <c r="C49" s="24"/>
      <c r="D49" s="24"/>
      <c r="E49" s="24"/>
      <c r="F49" s="13" t="str">
        <f aca="false">IFERROR(IF(AND(ISNUMBER(D49),ISNUMBER(E49)),E49-D49+1,""),"")</f>
        <v/>
      </c>
      <c r="G49" s="30"/>
      <c r="H49" s="12"/>
    </row>
    <row r="50" customFormat="false" ht="15" hidden="false" customHeight="false" outlineLevel="0" collapsed="false">
      <c r="A50" s="12"/>
      <c r="B50" s="13"/>
      <c r="C50" s="24"/>
      <c r="D50" s="24"/>
      <c r="E50" s="24"/>
      <c r="F50" s="13" t="str">
        <f aca="false">IFERROR(IF(AND(ISNUMBER(D50),ISNUMBER(E50)),E50-D50+1,""),"")</f>
        <v/>
      </c>
      <c r="G50" s="30"/>
      <c r="H50" s="12"/>
    </row>
    <row r="51" customFormat="false" ht="15" hidden="false" customHeight="false" outlineLevel="0" collapsed="false">
      <c r="A51" s="12"/>
      <c r="B51" s="13"/>
      <c r="C51" s="24"/>
      <c r="D51" s="24"/>
      <c r="E51" s="24"/>
      <c r="F51" s="13" t="str">
        <f aca="false">IFERROR(IF(AND(ISNUMBER(D51),ISNUMBER(E51)),E51-D51+1,""),"")</f>
        <v/>
      </c>
      <c r="G51" s="30"/>
      <c r="H51" s="12"/>
    </row>
    <row r="52" customFormat="false" ht="15" hidden="false" customHeight="false" outlineLevel="0" collapsed="false">
      <c r="A52" s="12"/>
      <c r="B52" s="13"/>
      <c r="C52" s="24"/>
      <c r="D52" s="24"/>
      <c r="E52" s="24"/>
      <c r="F52" s="13" t="str">
        <f aca="false">IFERROR(IF(AND(ISNUMBER(D52),ISNUMBER(E52)),E52-D52+1,""),"")</f>
        <v/>
      </c>
      <c r="G52" s="30"/>
      <c r="H52" s="12"/>
    </row>
    <row r="53" customFormat="false" ht="15" hidden="false" customHeight="false" outlineLevel="0" collapsed="false">
      <c r="A53" s="12"/>
      <c r="B53" s="13"/>
      <c r="C53" s="24"/>
      <c r="D53" s="24"/>
      <c r="E53" s="24"/>
      <c r="F53" s="13" t="str">
        <f aca="false">IFERROR(IF(AND(ISNUMBER(D53),ISNUMBER(E53)),E53-D53+1,""),"")</f>
        <v/>
      </c>
      <c r="G53" s="30"/>
      <c r="H53" s="12"/>
    </row>
    <row r="54" customFormat="false" ht="15" hidden="false" customHeight="false" outlineLevel="0" collapsed="false">
      <c r="A54" s="12"/>
      <c r="B54" s="13"/>
      <c r="C54" s="24"/>
      <c r="D54" s="24"/>
      <c r="E54" s="24"/>
      <c r="F54" s="13" t="str">
        <f aca="false">IFERROR(IF(AND(ISNUMBER(D54),ISNUMBER(E54)),E54-D54+1,""),"")</f>
        <v/>
      </c>
      <c r="G54" s="30"/>
      <c r="H54" s="12"/>
    </row>
    <row r="55" customFormat="false" ht="15" hidden="false" customHeight="false" outlineLevel="0" collapsed="false">
      <c r="A55" s="12"/>
      <c r="B55" s="13"/>
      <c r="C55" s="24"/>
      <c r="D55" s="24"/>
      <c r="E55" s="24"/>
      <c r="F55" s="13" t="str">
        <f aca="false">IFERROR(IF(AND(ISNUMBER(D55),ISNUMBER(E55)),E55-D55+1,""),"")</f>
        <v/>
      </c>
      <c r="G55" s="30"/>
      <c r="H55" s="12"/>
    </row>
    <row r="56" customFormat="false" ht="15" hidden="false" customHeight="false" outlineLevel="0" collapsed="false">
      <c r="A56" s="12"/>
      <c r="B56" s="13"/>
      <c r="C56" s="24"/>
      <c r="D56" s="24"/>
      <c r="E56" s="24"/>
      <c r="F56" s="13" t="str">
        <f aca="false">IFERROR(IF(AND(ISNUMBER(D56),ISNUMBER(E56)),E56-D56+1,""),"")</f>
        <v/>
      </c>
      <c r="G56" s="30"/>
      <c r="H56" s="12"/>
    </row>
    <row r="57" customFormat="false" ht="15" hidden="false" customHeight="false" outlineLevel="0" collapsed="false">
      <c r="A57" s="12"/>
      <c r="B57" s="13"/>
      <c r="C57" s="24"/>
      <c r="D57" s="24"/>
      <c r="E57" s="24"/>
      <c r="F57" s="13" t="str">
        <f aca="false">IFERROR(IF(AND(ISNUMBER(D57),ISNUMBER(E57)),E57-D57+1,""),"")</f>
        <v/>
      </c>
      <c r="G57" s="30"/>
      <c r="H57" s="12"/>
    </row>
    <row r="58" customFormat="false" ht="15" hidden="false" customHeight="false" outlineLevel="0" collapsed="false">
      <c r="A58" s="12"/>
      <c r="B58" s="13"/>
      <c r="C58" s="24"/>
      <c r="D58" s="24"/>
      <c r="E58" s="24"/>
      <c r="F58" s="13" t="str">
        <f aca="false">IFERROR(IF(AND(ISNUMBER(D58),ISNUMBER(E58)),E58-D58+1,""),"")</f>
        <v/>
      </c>
      <c r="G58" s="30"/>
      <c r="H58" s="12"/>
    </row>
    <row r="59" customFormat="false" ht="15" hidden="false" customHeight="false" outlineLevel="0" collapsed="false">
      <c r="A59" s="12"/>
      <c r="B59" s="13"/>
      <c r="C59" s="24"/>
      <c r="D59" s="24"/>
      <c r="E59" s="24"/>
      <c r="F59" s="13" t="str">
        <f aca="false">IFERROR(IF(AND(ISNUMBER(D59),ISNUMBER(E59)),E59-D59+1,""),"")</f>
        <v/>
      </c>
      <c r="G59" s="30"/>
      <c r="H59" s="12"/>
    </row>
    <row r="60" customFormat="false" ht="15" hidden="false" customHeight="false" outlineLevel="0" collapsed="false">
      <c r="A60" s="12"/>
      <c r="B60" s="13"/>
      <c r="C60" s="24"/>
      <c r="D60" s="24"/>
      <c r="E60" s="24"/>
      <c r="F60" s="13" t="str">
        <f aca="false">IFERROR(IF(AND(ISNUMBER(D60),ISNUMBER(E60)),E60-D60+1,""),"")</f>
        <v/>
      </c>
      <c r="G60" s="30"/>
      <c r="H60" s="12"/>
    </row>
    <row r="61" customFormat="false" ht="15" hidden="false" customHeight="false" outlineLevel="0" collapsed="false">
      <c r="A61" s="12"/>
      <c r="B61" s="13"/>
      <c r="C61" s="24"/>
      <c r="D61" s="24"/>
      <c r="E61" s="24"/>
      <c r="F61" s="13" t="str">
        <f aca="false">IFERROR(IF(AND(ISNUMBER(D61),ISNUMBER(E61)),E61-D61+1,""),"")</f>
        <v/>
      </c>
      <c r="G61" s="30"/>
      <c r="H61" s="12"/>
    </row>
    <row r="62" customFormat="false" ht="15" hidden="false" customHeight="false" outlineLevel="0" collapsed="false">
      <c r="A62" s="12"/>
      <c r="B62" s="13"/>
      <c r="C62" s="24"/>
      <c r="D62" s="24"/>
      <c r="E62" s="24"/>
      <c r="F62" s="13" t="str">
        <f aca="false">IFERROR(IF(AND(ISNUMBER(D62),ISNUMBER(E62)),E62-D62+1,""),"")</f>
        <v/>
      </c>
      <c r="G62" s="30"/>
      <c r="H62" s="12"/>
    </row>
    <row r="63" customFormat="false" ht="15" hidden="false" customHeight="false" outlineLevel="0" collapsed="false">
      <c r="A63" s="12"/>
      <c r="B63" s="13"/>
      <c r="C63" s="24"/>
      <c r="D63" s="24"/>
      <c r="E63" s="24"/>
      <c r="F63" s="13" t="str">
        <f aca="false">IFERROR(IF(AND(ISNUMBER(D63),ISNUMBER(E63)),E63-D63+1,""),"")</f>
        <v/>
      </c>
      <c r="G63" s="30"/>
      <c r="H63" s="12"/>
    </row>
    <row r="64" customFormat="false" ht="15" hidden="false" customHeight="false" outlineLevel="0" collapsed="false">
      <c r="A64" s="12"/>
      <c r="B64" s="13"/>
      <c r="C64" s="24"/>
      <c r="D64" s="24"/>
      <c r="E64" s="24"/>
      <c r="F64" s="13" t="str">
        <f aca="false">IFERROR(IF(AND(ISNUMBER(D64),ISNUMBER(E64)),E64-D64+1,""),"")</f>
        <v/>
      </c>
      <c r="G64" s="30"/>
      <c r="H64" s="12"/>
    </row>
    <row r="65" customFormat="false" ht="15" hidden="false" customHeight="false" outlineLevel="0" collapsed="false">
      <c r="A65" s="12"/>
      <c r="B65" s="13"/>
      <c r="C65" s="24"/>
      <c r="D65" s="24"/>
      <c r="E65" s="24"/>
      <c r="F65" s="13" t="str">
        <f aca="false">IFERROR(IF(AND(ISNUMBER(D65),ISNUMBER(E65)),E65-D65+1,""),"")</f>
        <v/>
      </c>
      <c r="G65" s="30"/>
      <c r="H65" s="12"/>
    </row>
    <row r="66" customFormat="false" ht="15" hidden="false" customHeight="false" outlineLevel="0" collapsed="false">
      <c r="A66" s="12"/>
      <c r="B66" s="13"/>
      <c r="C66" s="24"/>
      <c r="D66" s="24"/>
      <c r="E66" s="24"/>
      <c r="F66" s="13" t="str">
        <f aca="false">IFERROR(IF(AND(ISNUMBER(D66),ISNUMBER(E66)),E66-D66+1,""),"")</f>
        <v/>
      </c>
      <c r="G66" s="30"/>
      <c r="H66" s="12"/>
    </row>
    <row r="67" customFormat="false" ht="15" hidden="false" customHeight="false" outlineLevel="0" collapsed="false">
      <c r="A67" s="12"/>
      <c r="B67" s="13"/>
      <c r="C67" s="24"/>
      <c r="D67" s="24"/>
      <c r="E67" s="24"/>
      <c r="F67" s="13" t="str">
        <f aca="false">IFERROR(IF(AND(ISNUMBER(D67),ISNUMBER(E67)),E67-D67+1,""),"")</f>
        <v/>
      </c>
      <c r="G67" s="30"/>
      <c r="H67" s="12"/>
    </row>
    <row r="68" customFormat="false" ht="15" hidden="false" customHeight="false" outlineLevel="0" collapsed="false">
      <c r="A68" s="12"/>
      <c r="B68" s="13"/>
      <c r="C68" s="24"/>
      <c r="D68" s="24"/>
      <c r="E68" s="24"/>
      <c r="F68" s="13" t="str">
        <f aca="false">IFERROR(IF(AND(ISNUMBER(D68),ISNUMBER(E68)),E68-D68+1,""),"")</f>
        <v/>
      </c>
      <c r="G68" s="30"/>
      <c r="H68" s="12"/>
    </row>
    <row r="69" customFormat="false" ht="15" hidden="false" customHeight="false" outlineLevel="0" collapsed="false">
      <c r="A69" s="12"/>
      <c r="B69" s="13"/>
      <c r="C69" s="24"/>
      <c r="D69" s="24"/>
      <c r="E69" s="24"/>
      <c r="F69" s="13" t="str">
        <f aca="false">IFERROR(IF(AND(ISNUMBER(D69),ISNUMBER(E69)),E69-D69+1,""),"")</f>
        <v/>
      </c>
      <c r="G69" s="30"/>
      <c r="H69" s="12"/>
    </row>
    <row r="70" customFormat="false" ht="15" hidden="false" customHeight="false" outlineLevel="0" collapsed="false">
      <c r="A70" s="12"/>
      <c r="B70" s="13"/>
      <c r="C70" s="24"/>
      <c r="D70" s="24"/>
      <c r="E70" s="24"/>
      <c r="F70" s="13" t="str">
        <f aca="false">IFERROR(IF(AND(ISNUMBER(D70),ISNUMBER(E70)),E70-D70+1,""),"")</f>
        <v/>
      </c>
      <c r="G70" s="30"/>
      <c r="H70" s="12"/>
    </row>
    <row r="71" customFormat="false" ht="15" hidden="false" customHeight="false" outlineLevel="0" collapsed="false">
      <c r="A71" s="12"/>
      <c r="B71" s="13"/>
      <c r="C71" s="24"/>
      <c r="D71" s="24"/>
      <c r="E71" s="24"/>
      <c r="F71" s="13" t="str">
        <f aca="false">IFERROR(IF(AND(ISNUMBER(D71),ISNUMBER(E71)),E71-D71+1,""),"")</f>
        <v/>
      </c>
      <c r="G71" s="30"/>
      <c r="H71" s="12"/>
    </row>
    <row r="72" customFormat="false" ht="15" hidden="false" customHeight="false" outlineLevel="0" collapsed="false">
      <c r="A72" s="12"/>
      <c r="B72" s="13"/>
      <c r="C72" s="24"/>
      <c r="D72" s="24"/>
      <c r="E72" s="24"/>
      <c r="F72" s="13" t="str">
        <f aca="false">IFERROR(IF(AND(ISNUMBER(D72),ISNUMBER(E72)),E72-D72+1,""),"")</f>
        <v/>
      </c>
      <c r="G72" s="30"/>
      <c r="H72" s="12"/>
    </row>
    <row r="73" customFormat="false" ht="15" hidden="false" customHeight="false" outlineLevel="0" collapsed="false">
      <c r="A73" s="12"/>
      <c r="B73" s="13"/>
      <c r="C73" s="24"/>
      <c r="D73" s="24"/>
      <c r="E73" s="24"/>
      <c r="F73" s="13" t="str">
        <f aca="false">IFERROR(IF(AND(ISNUMBER(D73),ISNUMBER(E73)),E73-D73+1,""),"")</f>
        <v/>
      </c>
      <c r="G73" s="30"/>
      <c r="H73" s="12"/>
    </row>
    <row r="74" customFormat="false" ht="15" hidden="false" customHeight="false" outlineLevel="0" collapsed="false">
      <c r="A74" s="12"/>
      <c r="B74" s="13"/>
      <c r="C74" s="24"/>
      <c r="D74" s="24"/>
      <c r="E74" s="24"/>
      <c r="F74" s="13" t="str">
        <f aca="false">IFERROR(IF(AND(ISNUMBER(D74),ISNUMBER(E74)),E74-D74+1,""),"")</f>
        <v/>
      </c>
      <c r="G74" s="30"/>
      <c r="H74" s="12"/>
    </row>
    <row r="75" customFormat="false" ht="15" hidden="false" customHeight="false" outlineLevel="0" collapsed="false">
      <c r="A75" s="12"/>
      <c r="B75" s="13"/>
      <c r="C75" s="24"/>
      <c r="D75" s="24"/>
      <c r="E75" s="24"/>
      <c r="F75" s="13" t="str">
        <f aca="false">IFERROR(IF(AND(ISNUMBER(D75),ISNUMBER(E75)),E75-D75+1,""),"")</f>
        <v/>
      </c>
      <c r="G75" s="30"/>
      <c r="H75" s="12"/>
    </row>
    <row r="76" customFormat="false" ht="15" hidden="false" customHeight="false" outlineLevel="0" collapsed="false">
      <c r="A76" s="12"/>
      <c r="B76" s="13"/>
      <c r="C76" s="24"/>
      <c r="D76" s="24"/>
      <c r="E76" s="24"/>
      <c r="F76" s="13" t="str">
        <f aca="false">IFERROR(IF(AND(ISNUMBER(D76),ISNUMBER(E76)),E76-D76+1,""),"")</f>
        <v/>
      </c>
      <c r="G76" s="30"/>
      <c r="H76" s="12"/>
    </row>
    <row r="77" customFormat="false" ht="15" hidden="false" customHeight="false" outlineLevel="0" collapsed="false">
      <c r="A77" s="12"/>
      <c r="B77" s="13"/>
      <c r="C77" s="24"/>
      <c r="D77" s="24"/>
      <c r="E77" s="24"/>
      <c r="F77" s="13" t="str">
        <f aca="false">IFERROR(IF(AND(ISNUMBER(D77),ISNUMBER(E77)),E77-D77+1,""),"")</f>
        <v/>
      </c>
      <c r="G77" s="30"/>
      <c r="H77" s="12"/>
    </row>
    <row r="78" customFormat="false" ht="15" hidden="false" customHeight="false" outlineLevel="0" collapsed="false">
      <c r="A78" s="12"/>
      <c r="B78" s="13"/>
      <c r="C78" s="24"/>
      <c r="D78" s="24"/>
      <c r="E78" s="24"/>
      <c r="F78" s="13" t="str">
        <f aca="false">IFERROR(IF(AND(ISNUMBER(D78),ISNUMBER(E78)),E78-D78+1,""),"")</f>
        <v/>
      </c>
      <c r="G78" s="30"/>
      <c r="H78" s="12"/>
    </row>
    <row r="79" customFormat="false" ht="15" hidden="false" customHeight="false" outlineLevel="0" collapsed="false">
      <c r="A79" s="12"/>
      <c r="B79" s="13"/>
      <c r="C79" s="24"/>
      <c r="D79" s="24"/>
      <c r="E79" s="24"/>
      <c r="F79" s="13" t="str">
        <f aca="false">IFERROR(IF(AND(ISNUMBER(D79),ISNUMBER(E79)),E79-D79+1,""),"")</f>
        <v/>
      </c>
      <c r="G79" s="30"/>
      <c r="H79" s="12"/>
    </row>
    <row r="80" customFormat="false" ht="15" hidden="false" customHeight="false" outlineLevel="0" collapsed="false">
      <c r="A80" s="12"/>
      <c r="B80" s="13"/>
      <c r="C80" s="24"/>
      <c r="D80" s="24"/>
      <c r="E80" s="24"/>
      <c r="F80" s="13" t="str">
        <f aca="false">IFERROR(IF(AND(ISNUMBER(D80),ISNUMBER(E80)),E80-D80+1,""),"")</f>
        <v/>
      </c>
      <c r="G80" s="30"/>
      <c r="H80" s="12"/>
    </row>
    <row r="81" customFormat="false" ht="15" hidden="false" customHeight="false" outlineLevel="0" collapsed="false">
      <c r="A81" s="12"/>
      <c r="B81" s="13"/>
      <c r="C81" s="24"/>
      <c r="D81" s="24"/>
      <c r="E81" s="24"/>
      <c r="F81" s="13" t="str">
        <f aca="false">IFERROR(IF(AND(ISNUMBER(D81),ISNUMBER(E81)),E81-D81+1,""),"")</f>
        <v/>
      </c>
      <c r="G81" s="30"/>
      <c r="H81" s="12"/>
    </row>
    <row r="82" customFormat="false" ht="15" hidden="false" customHeight="false" outlineLevel="0" collapsed="false">
      <c r="A82" s="12"/>
      <c r="B82" s="13"/>
      <c r="C82" s="24"/>
      <c r="D82" s="24"/>
      <c r="E82" s="24"/>
      <c r="F82" s="13" t="str">
        <f aca="false">IFERROR(IF(AND(ISNUMBER(D82),ISNUMBER(E82)),E82-D82+1,""),"")</f>
        <v/>
      </c>
      <c r="G82" s="30"/>
      <c r="H82" s="12"/>
    </row>
    <row r="83" customFormat="false" ht="15" hidden="false" customHeight="false" outlineLevel="0" collapsed="false">
      <c r="A83" s="12"/>
      <c r="B83" s="13"/>
      <c r="C83" s="24"/>
      <c r="D83" s="24"/>
      <c r="E83" s="24"/>
      <c r="F83" s="13" t="str">
        <f aca="false">IFERROR(IF(AND(ISNUMBER(D83),ISNUMBER(E83)),E83-D83+1,""),"")</f>
        <v/>
      </c>
      <c r="G83" s="30"/>
      <c r="H83" s="12"/>
    </row>
    <row r="84" customFormat="false" ht="15" hidden="false" customHeight="false" outlineLevel="0" collapsed="false">
      <c r="A84" s="12"/>
      <c r="B84" s="13"/>
      <c r="C84" s="24"/>
      <c r="D84" s="24"/>
      <c r="E84" s="24"/>
      <c r="F84" s="13" t="str">
        <f aca="false">IFERROR(IF(AND(ISNUMBER(D84),ISNUMBER(E84)),E84-D84+1,""),"")</f>
        <v/>
      </c>
      <c r="G84" s="30"/>
      <c r="H84" s="12"/>
    </row>
    <row r="85" customFormat="false" ht="15" hidden="false" customHeight="false" outlineLevel="0" collapsed="false">
      <c r="A85" s="12"/>
      <c r="B85" s="13"/>
      <c r="C85" s="24"/>
      <c r="D85" s="24"/>
      <c r="E85" s="24"/>
      <c r="F85" s="13" t="str">
        <f aca="false">IFERROR(IF(AND(ISNUMBER(D85),ISNUMBER(E85)),E85-D85+1,""),"")</f>
        <v/>
      </c>
      <c r="G85" s="30"/>
      <c r="H85" s="12"/>
    </row>
    <row r="86" customFormat="false" ht="15" hidden="false" customHeight="false" outlineLevel="0" collapsed="false">
      <c r="A86" s="12"/>
      <c r="B86" s="13"/>
      <c r="C86" s="24"/>
      <c r="D86" s="24"/>
      <c r="E86" s="24"/>
      <c r="F86" s="13" t="str">
        <f aca="false">IFERROR(IF(AND(ISNUMBER(D86),ISNUMBER(E86)),E86-D86+1,""),"")</f>
        <v/>
      </c>
      <c r="G86" s="30"/>
      <c r="H86" s="12"/>
    </row>
    <row r="87" customFormat="false" ht="15" hidden="false" customHeight="false" outlineLevel="0" collapsed="false">
      <c r="A87" s="12"/>
      <c r="B87" s="13"/>
      <c r="C87" s="24"/>
      <c r="D87" s="24"/>
      <c r="E87" s="24"/>
      <c r="F87" s="13" t="str">
        <f aca="false">IFERROR(IF(AND(ISNUMBER(D87),ISNUMBER(E87)),E87-D87+1,""),"")</f>
        <v/>
      </c>
      <c r="G87" s="30"/>
      <c r="H87" s="12"/>
    </row>
    <row r="88" customFormat="false" ht="15" hidden="false" customHeight="false" outlineLevel="0" collapsed="false">
      <c r="A88" s="12"/>
      <c r="B88" s="13"/>
      <c r="C88" s="24"/>
      <c r="D88" s="24"/>
      <c r="E88" s="24"/>
      <c r="F88" s="13" t="str">
        <f aca="false">IFERROR(IF(AND(ISNUMBER(D88),ISNUMBER(E88)),E88-D88+1,""),"")</f>
        <v/>
      </c>
      <c r="G88" s="30"/>
      <c r="H88" s="12"/>
    </row>
    <row r="89" customFormat="false" ht="15" hidden="false" customHeight="false" outlineLevel="0" collapsed="false">
      <c r="A89" s="12"/>
      <c r="B89" s="13"/>
      <c r="C89" s="24"/>
      <c r="D89" s="24"/>
      <c r="E89" s="24"/>
      <c r="F89" s="13" t="str">
        <f aca="false">IFERROR(IF(AND(ISNUMBER(D89),ISNUMBER(E89)),E89-D89+1,""),"")</f>
        <v/>
      </c>
      <c r="G89" s="30"/>
      <c r="H89" s="12"/>
    </row>
    <row r="90" customFormat="false" ht="15" hidden="false" customHeight="false" outlineLevel="0" collapsed="false">
      <c r="A90" s="12"/>
      <c r="B90" s="13"/>
      <c r="C90" s="24"/>
      <c r="D90" s="24"/>
      <c r="E90" s="24"/>
      <c r="F90" s="13" t="str">
        <f aca="false">IFERROR(IF(AND(ISNUMBER(D90),ISNUMBER(E90)),E90-D90+1,""),"")</f>
        <v/>
      </c>
      <c r="G90" s="30"/>
      <c r="H90" s="12"/>
    </row>
    <row r="91" customFormat="false" ht="15" hidden="false" customHeight="false" outlineLevel="0" collapsed="false">
      <c r="A91" s="12"/>
      <c r="B91" s="13"/>
      <c r="C91" s="24"/>
      <c r="D91" s="24"/>
      <c r="E91" s="24"/>
      <c r="F91" s="13" t="str">
        <f aca="false">IFERROR(IF(AND(ISNUMBER(D91),ISNUMBER(E91)),E91-D91+1,""),"")</f>
        <v/>
      </c>
      <c r="G91" s="30"/>
      <c r="H91" s="12"/>
    </row>
    <row r="92" customFormat="false" ht="15" hidden="false" customHeight="false" outlineLevel="0" collapsed="false">
      <c r="A92" s="12"/>
      <c r="B92" s="13"/>
      <c r="C92" s="24"/>
      <c r="D92" s="24"/>
      <c r="E92" s="24"/>
      <c r="F92" s="13" t="str">
        <f aca="false">IFERROR(IF(AND(ISNUMBER(D92),ISNUMBER(E92)),E92-D92+1,""),"")</f>
        <v/>
      </c>
      <c r="G92" s="30"/>
      <c r="H92" s="12"/>
    </row>
    <row r="93" customFormat="false" ht="15" hidden="false" customHeight="false" outlineLevel="0" collapsed="false">
      <c r="A93" s="12"/>
      <c r="B93" s="13"/>
      <c r="C93" s="24"/>
      <c r="D93" s="24"/>
      <c r="E93" s="24"/>
      <c r="F93" s="13" t="str">
        <f aca="false">IFERROR(IF(AND(ISNUMBER(D93),ISNUMBER(E93)),E93-D93+1,""),"")</f>
        <v/>
      </c>
      <c r="G93" s="30"/>
      <c r="H93" s="12"/>
    </row>
    <row r="94" customFormat="false" ht="15" hidden="false" customHeight="false" outlineLevel="0" collapsed="false">
      <c r="A94" s="12"/>
      <c r="B94" s="13"/>
      <c r="C94" s="24"/>
      <c r="D94" s="24"/>
      <c r="E94" s="24"/>
      <c r="F94" s="13" t="str">
        <f aca="false">IFERROR(IF(AND(ISNUMBER(D94),ISNUMBER(E94)),E94-D94+1,""),"")</f>
        <v/>
      </c>
      <c r="G94" s="30"/>
      <c r="H94" s="12"/>
    </row>
    <row r="95" customFormat="false" ht="15" hidden="false" customHeight="false" outlineLevel="0" collapsed="false">
      <c r="A95" s="12"/>
      <c r="B95" s="13"/>
      <c r="C95" s="24"/>
      <c r="D95" s="24"/>
      <c r="E95" s="24"/>
      <c r="F95" s="13" t="str">
        <f aca="false">IFERROR(IF(AND(ISNUMBER(D95),ISNUMBER(E95)),E95-D95+1,""),"")</f>
        <v/>
      </c>
      <c r="G95" s="30"/>
      <c r="H95" s="12"/>
    </row>
    <row r="96" customFormat="false" ht="15" hidden="false" customHeight="false" outlineLevel="0" collapsed="false">
      <c r="A96" s="12"/>
      <c r="B96" s="13"/>
      <c r="C96" s="24"/>
      <c r="D96" s="24"/>
      <c r="E96" s="24"/>
      <c r="F96" s="13" t="str">
        <f aca="false">IFERROR(IF(AND(ISNUMBER(D96),ISNUMBER(E96)),E96-D96+1,""),"")</f>
        <v/>
      </c>
      <c r="G96" s="30"/>
      <c r="H96" s="12"/>
    </row>
    <row r="97" customFormat="false" ht="15" hidden="false" customHeight="false" outlineLevel="0" collapsed="false">
      <c r="A97" s="12"/>
      <c r="B97" s="13"/>
      <c r="C97" s="24"/>
      <c r="D97" s="24"/>
      <c r="E97" s="24"/>
      <c r="F97" s="13" t="str">
        <f aca="false">IFERROR(IF(AND(ISNUMBER(D97),ISNUMBER(E97)),E97-D97+1,""),"")</f>
        <v/>
      </c>
      <c r="G97" s="30"/>
      <c r="H97" s="12"/>
    </row>
    <row r="98" customFormat="false" ht="15" hidden="false" customHeight="false" outlineLevel="0" collapsed="false">
      <c r="A98" s="12"/>
      <c r="B98" s="13"/>
      <c r="C98" s="24"/>
      <c r="D98" s="24"/>
      <c r="E98" s="24"/>
      <c r="F98" s="13" t="str">
        <f aca="false">IFERROR(IF(AND(ISNUMBER(D98),ISNUMBER(E98)),E98-D98+1,""),"")</f>
        <v/>
      </c>
      <c r="G98" s="30"/>
      <c r="H98" s="12"/>
    </row>
    <row r="99" customFormat="false" ht="15" hidden="false" customHeight="false" outlineLevel="0" collapsed="false">
      <c r="A99" s="12"/>
      <c r="B99" s="13"/>
      <c r="C99" s="24"/>
      <c r="D99" s="24"/>
      <c r="E99" s="24"/>
      <c r="F99" s="13" t="str">
        <f aca="false">IFERROR(IF(AND(ISNUMBER(D99),ISNUMBER(E99)),E99-D99+1,""),"")</f>
        <v/>
      </c>
      <c r="G99" s="30"/>
      <c r="H99" s="12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B3:B99" type="list">
      <formula1>'14_Equipa'!$A$3:$A$5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38"/>
  </cols>
  <sheetData>
    <row r="1" customFormat="false" ht="37.5" hidden="false" customHeight="true" outlineLevel="0" collapsed="false">
      <c r="A1" s="31" t="s">
        <v>134</v>
      </c>
      <c r="B1" s="31"/>
      <c r="C1" s="31"/>
      <c r="D1" s="31"/>
      <c r="E1" s="31"/>
    </row>
    <row r="2" customFormat="false" ht="27.75" hidden="false" customHeight="true" outlineLevel="0" collapsed="false">
      <c r="A2" s="11" t="s">
        <v>37</v>
      </c>
      <c r="B2" s="11" t="s">
        <v>135</v>
      </c>
      <c r="C2" s="11" t="s">
        <v>136</v>
      </c>
      <c r="D2" s="11" t="s">
        <v>137</v>
      </c>
      <c r="E2" s="11" t="s">
        <v>56</v>
      </c>
    </row>
    <row r="3" customFormat="false" ht="15" hidden="false" customHeight="false" outlineLevel="0" collapsed="false">
      <c r="A3" s="12" t="s">
        <v>138</v>
      </c>
      <c r="B3" s="13" t="n">
        <v>90</v>
      </c>
      <c r="C3" s="13" t="n">
        <v>60</v>
      </c>
      <c r="D3" s="13" t="n">
        <v>30</v>
      </c>
      <c r="E3" s="12" t="s">
        <v>139</v>
      </c>
    </row>
    <row r="4" customFormat="false" ht="15" hidden="false" customHeight="false" outlineLevel="0" collapsed="false">
      <c r="A4" s="12" t="s">
        <v>43</v>
      </c>
      <c r="B4" s="13" t="s">
        <v>140</v>
      </c>
      <c r="C4" s="13" t="s">
        <v>141</v>
      </c>
      <c r="D4" s="13" t="s">
        <v>142</v>
      </c>
      <c r="E4" s="12" t="s">
        <v>143</v>
      </c>
    </row>
    <row r="5" customFormat="false" ht="15" hidden="false" customHeight="false" outlineLevel="0" collapsed="false">
      <c r="A5" s="12" t="s">
        <v>44</v>
      </c>
      <c r="B5" s="13" t="s">
        <v>144</v>
      </c>
      <c r="C5" s="13" t="s">
        <v>140</v>
      </c>
      <c r="D5" s="13" t="s">
        <v>145</v>
      </c>
      <c r="E5" s="12" t="s">
        <v>146</v>
      </c>
    </row>
    <row r="6" customFormat="false" ht="15" hidden="false" customHeight="false" outlineLevel="0" collapsed="false">
      <c r="A6" s="12" t="s">
        <v>147</v>
      </c>
      <c r="B6" s="13" t="s">
        <v>80</v>
      </c>
      <c r="C6" s="13" t="s">
        <v>80</v>
      </c>
      <c r="D6" s="13" t="s">
        <v>80</v>
      </c>
      <c r="E6" s="12" t="s">
        <v>148</v>
      </c>
    </row>
    <row r="7" customFormat="false" ht="15" hidden="false" customHeight="false" outlineLevel="0" collapsed="false">
      <c r="A7" s="12" t="s">
        <v>149</v>
      </c>
      <c r="B7" s="13" t="s">
        <v>80</v>
      </c>
      <c r="C7" s="13" t="s">
        <v>80</v>
      </c>
      <c r="D7" s="13" t="s">
        <v>80</v>
      </c>
      <c r="E7" s="12" t="s">
        <v>150</v>
      </c>
    </row>
    <row r="8" customFormat="false" ht="15" hidden="false" customHeight="false" outlineLevel="0" collapsed="false">
      <c r="A8" s="12" t="s">
        <v>151</v>
      </c>
      <c r="B8" s="13" t="s">
        <v>152</v>
      </c>
      <c r="C8" s="13" t="s">
        <v>153</v>
      </c>
      <c r="D8" s="13" t="s">
        <v>154</v>
      </c>
      <c r="E8" s="12" t="s">
        <v>155</v>
      </c>
    </row>
    <row r="9" customFormat="false" ht="15" hidden="false" customHeight="false" outlineLevel="0" collapsed="false">
      <c r="A9" s="12" t="s">
        <v>156</v>
      </c>
      <c r="B9" s="13" t="s">
        <v>157</v>
      </c>
      <c r="C9" s="13" t="s">
        <v>158</v>
      </c>
      <c r="D9" s="13" t="s">
        <v>159</v>
      </c>
      <c r="E9" s="12" t="s">
        <v>160</v>
      </c>
    </row>
    <row r="10" customFormat="false" ht="15" hidden="false" customHeight="false" outlineLevel="0" collapsed="false">
      <c r="A10" s="12" t="s">
        <v>161</v>
      </c>
      <c r="B10" s="13" t="s">
        <v>140</v>
      </c>
      <c r="C10" s="13" t="s">
        <v>145</v>
      </c>
      <c r="D10" s="13" t="s">
        <v>157</v>
      </c>
      <c r="E10" s="12" t="s">
        <v>162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37.5" hidden="false" customHeight="true" outlineLevel="0" collapsed="false">
      <c r="A1" s="31" t="s">
        <v>163</v>
      </c>
      <c r="B1" s="31"/>
      <c r="C1" s="31"/>
      <c r="D1" s="31"/>
      <c r="E1" s="31"/>
    </row>
    <row r="2" customFormat="false" ht="27.75" hidden="false" customHeight="true" outlineLevel="0" collapsed="false">
      <c r="A2" s="11" t="s">
        <v>19</v>
      </c>
      <c r="B2" s="11" t="s">
        <v>18</v>
      </c>
      <c r="C2" s="11" t="s">
        <v>164</v>
      </c>
      <c r="D2" s="11" t="s">
        <v>165</v>
      </c>
      <c r="E2" s="11" t="s">
        <v>36</v>
      </c>
    </row>
    <row r="3" customFormat="false" ht="15" hidden="false" customHeight="false" outlineLevel="0" collapsed="false">
      <c r="A3" s="12" t="s">
        <v>166</v>
      </c>
      <c r="B3" s="12" t="s">
        <v>167</v>
      </c>
      <c r="C3" s="12"/>
      <c r="D3" s="12"/>
      <c r="E3" s="12" t="s">
        <v>168</v>
      </c>
    </row>
    <row r="4" customFormat="false" ht="15" hidden="false" customHeight="false" outlineLevel="0" collapsed="false">
      <c r="A4" s="12" t="s">
        <v>169</v>
      </c>
      <c r="B4" s="12" t="s">
        <v>170</v>
      </c>
      <c r="C4" s="12"/>
      <c r="D4" s="12"/>
      <c r="E4" s="12" t="s">
        <v>168</v>
      </c>
    </row>
    <row r="5" customFormat="false" ht="15" hidden="false" customHeight="false" outlineLevel="0" collapsed="false">
      <c r="A5" s="12" t="s">
        <v>171</v>
      </c>
      <c r="B5" s="12" t="s">
        <v>172</v>
      </c>
      <c r="C5" s="12"/>
      <c r="D5" s="12"/>
      <c r="E5" s="12" t="s">
        <v>168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37.5" hidden="false" customHeight="true" outlineLevel="0" collapsed="false">
      <c r="A1" s="31" t="s">
        <v>173</v>
      </c>
      <c r="B1" s="31"/>
      <c r="C1" s="31"/>
      <c r="D1" s="31"/>
      <c r="E1" s="31"/>
      <c r="F1" s="31"/>
    </row>
    <row r="3" customFormat="false" ht="15" hidden="false" customHeight="false" outlineLevel="0" collapsed="false">
      <c r="A3" s="32" t="s">
        <v>174</v>
      </c>
    </row>
    <row r="4" customFormat="false" ht="37.5" hidden="false" customHeight="true" outlineLevel="0" collapsed="false">
      <c r="A4" s="33" t="s">
        <v>175</v>
      </c>
      <c r="B4" s="33"/>
      <c r="C4" s="33"/>
      <c r="D4" s="33"/>
      <c r="E4" s="33"/>
      <c r="F4" s="33"/>
      <c r="G4" s="33"/>
      <c r="H4" s="33"/>
    </row>
    <row r="5" customFormat="false" ht="15" hidden="false" customHeight="false" outlineLevel="0" collapsed="false">
      <c r="A5" s="32" t="s">
        <v>176</v>
      </c>
    </row>
    <row r="6" customFormat="false" ht="37.5" hidden="false" customHeight="true" outlineLevel="0" collapsed="false">
      <c r="A6" s="33" t="s">
        <v>177</v>
      </c>
      <c r="B6" s="33"/>
      <c r="C6" s="33"/>
      <c r="D6" s="33"/>
      <c r="E6" s="33"/>
      <c r="F6" s="33"/>
      <c r="G6" s="33"/>
      <c r="H6" s="33"/>
    </row>
    <row r="7" customFormat="false" ht="15" hidden="false" customHeight="false" outlineLevel="0" collapsed="false">
      <c r="A7" s="32" t="s">
        <v>178</v>
      </c>
    </row>
    <row r="8" customFormat="false" ht="37.5" hidden="false" customHeight="true" outlineLevel="0" collapsed="false">
      <c r="A8" s="33" t="s">
        <v>179</v>
      </c>
      <c r="B8" s="33"/>
      <c r="C8" s="33"/>
      <c r="D8" s="33"/>
      <c r="E8" s="33"/>
      <c r="F8" s="33"/>
      <c r="G8" s="33"/>
      <c r="H8" s="33"/>
    </row>
    <row r="9" customFormat="false" ht="15" hidden="false" customHeight="false" outlineLevel="0" collapsed="false">
      <c r="A9" s="32" t="s">
        <v>180</v>
      </c>
    </row>
    <row r="10" customFormat="false" ht="37.5" hidden="false" customHeight="true" outlineLevel="0" collapsed="false">
      <c r="A10" s="33" t="s">
        <v>181</v>
      </c>
      <c r="B10" s="33"/>
      <c r="C10" s="33"/>
      <c r="D10" s="33"/>
      <c r="E10" s="33"/>
      <c r="F10" s="33"/>
      <c r="G10" s="33"/>
      <c r="H10" s="33"/>
    </row>
    <row r="11" customFormat="false" ht="15" hidden="false" customHeight="false" outlineLevel="0" collapsed="false">
      <c r="A11" s="32" t="s">
        <v>182</v>
      </c>
    </row>
    <row r="12" customFormat="false" ht="37.5" hidden="false" customHeight="true" outlineLevel="0" collapsed="false">
      <c r="A12" s="33" t="s">
        <v>183</v>
      </c>
      <c r="B12" s="33"/>
      <c r="C12" s="33"/>
      <c r="D12" s="33"/>
      <c r="E12" s="33"/>
      <c r="F12" s="33"/>
      <c r="G12" s="33"/>
      <c r="H12" s="33"/>
    </row>
    <row r="13" customFormat="false" ht="15" hidden="false" customHeight="false" outlineLevel="0" collapsed="false">
      <c r="A13" s="32" t="s">
        <v>184</v>
      </c>
    </row>
    <row r="14" customFormat="false" ht="37.5" hidden="false" customHeight="true" outlineLevel="0" collapsed="false">
      <c r="A14" s="33" t="s">
        <v>185</v>
      </c>
      <c r="B14" s="33"/>
      <c r="C14" s="33"/>
      <c r="D14" s="33"/>
      <c r="E14" s="33"/>
      <c r="F14" s="33"/>
      <c r="G14" s="33"/>
      <c r="H14" s="33"/>
    </row>
    <row r="15" customFormat="false" ht="15" hidden="false" customHeight="false" outlineLevel="0" collapsed="false">
      <c r="A15" s="32" t="s">
        <v>186</v>
      </c>
    </row>
    <row r="16" customFormat="false" ht="37.5" hidden="false" customHeight="true" outlineLevel="0" collapsed="false">
      <c r="A16" s="33" t="s">
        <v>187</v>
      </c>
      <c r="B16" s="33"/>
      <c r="C16" s="33"/>
      <c r="D16" s="33"/>
      <c r="E16" s="33"/>
      <c r="F16" s="33"/>
      <c r="G16" s="33"/>
      <c r="H16" s="33"/>
    </row>
    <row r="17" customFormat="false" ht="15" hidden="false" customHeight="false" outlineLevel="0" collapsed="false">
      <c r="A17" s="32" t="s">
        <v>188</v>
      </c>
    </row>
    <row r="18" customFormat="false" ht="37.5" hidden="false" customHeight="true" outlineLevel="0" collapsed="false">
      <c r="A18" s="33" t="s">
        <v>189</v>
      </c>
      <c r="B18" s="33"/>
      <c r="C18" s="33"/>
      <c r="D18" s="33"/>
      <c r="E18" s="33"/>
      <c r="F18" s="33"/>
      <c r="G18" s="33"/>
      <c r="H18" s="33"/>
    </row>
  </sheetData>
  <mergeCells count="9">
    <mergeCell ref="A1:F1"/>
    <mergeCell ref="A4:H4"/>
    <mergeCell ref="A6:H6"/>
    <mergeCell ref="A8:H8"/>
    <mergeCell ref="A10:H10"/>
    <mergeCell ref="A12:H12"/>
    <mergeCell ref="A14:H14"/>
    <mergeCell ref="A16:H16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2026-05-07T10:56:46Z</dcterms:created>
  <dc:creator>openpyxl</dc:creator>
  <dc:description/>
  <dc:language>en-US</dc:language>
  <cp:lastModifiedBy/>
  <dcterms:modified xsi:type="dcterms:W3CDTF">2026-05-07T10:56:48Z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